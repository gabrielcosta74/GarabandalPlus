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 Costa\Documents\Documentos Apostolado de Garabandal\Associação  Apostolado de Garabandal em língua portuguesa\Contabilidade\Quotas dos Associados\Quotas 2023-2024\"/>
    </mc:Choice>
  </mc:AlternateContent>
  <xr:revisionPtr revIDLastSave="0" documentId="13_ncr:2001_{4A1CED4D-2179-4DA7-B02E-7F583C706803}" xr6:coauthVersionLast="47" xr6:coauthVersionMax="47" xr10:uidLastSave="{00000000-0000-0000-0000-000000000000}"/>
  <bookViews>
    <workbookView xWindow="-108" yWindow="-108" windowWidth="23256" windowHeight="13176" activeTab="1" xr2:uid="{B9C1F712-B0B8-4522-90D0-BE19665C502C}"/>
  </bookViews>
  <sheets>
    <sheet name="Membros 2025" sheetId="1" r:id="rId1"/>
    <sheet name="Membros 2025 atualizado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3" l="1"/>
  <c r="R137" i="3" l="1"/>
  <c r="N137" i="3" l="1"/>
  <c r="K137" i="3"/>
  <c r="L43" i="3" l="1"/>
  <c r="L137" i="3" s="1"/>
  <c r="R97" i="1" l="1"/>
  <c r="O97" i="1"/>
  <c r="K97" i="1" l="1"/>
  <c r="L46" i="1" l="1"/>
  <c r="L9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tc={4594F9EE-A7BD-44B2-AD1F-243922A32103}</author>
    <author>tc={81A1C8AB-55E6-4DEC-A76E-6D0596855204}</author>
    <author>tc={FB6E6A1C-F3AE-4D6D-93DE-307B30665684}</author>
    <author>tc={DBD7BB0D-6328-40CC-9559-0FE38DC957B0}</author>
  </authors>
  <commentList>
    <comment ref="L24" authorId="0" shapeId="0" xr:uid="{4594F9EE-A7BD-44B2-AD1F-243922A32103}">
      <text>
        <t>[Threaded comment]
Your version of Excel allows you to read this threaded comment; however, any edits to it will get removed if the file is opened in a newer version of Excel. Learn more: https://go.microsoft.com/fwlink/?linkid=870924
Comment:
    Ficou de dar em dinheiro</t>
      </text>
    </comment>
    <comment ref="L32" authorId="1" shapeId="0" xr:uid="{81A1C8AB-55E6-4DEC-A76E-6D0596855204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aceite que não fizesse pagamento este ano.</t>
      </text>
    </comment>
    <comment ref="O76" authorId="2" shapeId="0" xr:uid="{FB6E6A1C-F3AE-4D6D-93DE-307B30665684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Pagou duas vezes em 2025</t>
      </text>
    </comment>
    <comment ref="B87" authorId="3" shapeId="0" xr:uid="{DBD7BB0D-6328-40CC-9559-0FE38DC957B0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tem whatsapp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tc={84F0D8EA-E574-4C8F-9034-8E71B1BA153E}</author>
    <author>tc={C430EBC9-E88A-46F9-BC4B-C1910E58E46D}</author>
    <author>tc={7A530B92-523D-4453-A9AD-37FCFCB19F7C}</author>
    <author>tc={FD6310EE-C738-490E-8D25-84730D6F622E}</author>
  </authors>
  <commentList>
    <comment ref="L24" authorId="0" shapeId="0" xr:uid="{84F0D8EA-E574-4C8F-9034-8E71B1BA153E}">
      <text>
        <t>[Threaded comment]
Your version of Excel allows you to read this threaded comment; however, any edits to it will get removed if the file is opened in a newer version of Excel. Learn more: https://go.microsoft.com/fwlink/?linkid=870924
Comment:
    Ficou de dar em dinheiro</t>
      </text>
    </comment>
    <comment ref="L31" authorId="1" shapeId="0" xr:uid="{C430EBC9-E88A-46F9-BC4B-C1910E58E46D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aceite que não fizesse pagamento este ano.</t>
      </text>
    </comment>
    <comment ref="N72" authorId="2" shapeId="0" xr:uid="{7A530B92-523D-4453-A9AD-37FCFCB19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Pagou duas vezes em 2025</t>
      </text>
    </comment>
    <comment ref="C83" authorId="3" shapeId="0" xr:uid="{FD6310EE-C738-490E-8D25-84730D6F622E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tem whatsapp</t>
      </text>
    </comment>
  </commentList>
</comments>
</file>

<file path=xl/sharedStrings.xml><?xml version="1.0" encoding="utf-8"?>
<sst xmlns="http://schemas.openxmlformats.org/spreadsheetml/2006/main" count="2195" uniqueCount="784">
  <si>
    <t>Endereço</t>
  </si>
  <si>
    <t>Telefone</t>
  </si>
  <si>
    <t>Email</t>
  </si>
  <si>
    <t>País</t>
  </si>
  <si>
    <t>Rui Costa</t>
  </si>
  <si>
    <t>Cristina Encarnação</t>
  </si>
  <si>
    <t>António Novo da Costa</t>
  </si>
  <si>
    <t>Luis Barroso</t>
  </si>
  <si>
    <t xml:space="preserve">Delmina </t>
  </si>
  <si>
    <t>Maria do Céu</t>
  </si>
  <si>
    <t>António Luís</t>
  </si>
  <si>
    <t>Laura Jales</t>
  </si>
  <si>
    <t>Marido da Laura</t>
  </si>
  <si>
    <t>Filho da Laura</t>
  </si>
  <si>
    <t>Regina Ribeiro</t>
  </si>
  <si>
    <t>Silvana Campos</t>
  </si>
  <si>
    <t>Fundador</t>
  </si>
  <si>
    <t>Vânia Lúcia Oliveira do Espírito Santo</t>
  </si>
  <si>
    <t>regulares</t>
  </si>
  <si>
    <t xml:space="preserve">	vaniaes7@gmail.com</t>
  </si>
  <si>
    <t>Brasil</t>
  </si>
  <si>
    <t xml:space="preserve">	Rua T-66 Nº 73 Setor Bueno</t>
  </si>
  <si>
    <t>codigo promocional</t>
  </si>
  <si>
    <t>socioapostoladodegarabandal</t>
  </si>
  <si>
    <t>Simone Yunes</t>
  </si>
  <si>
    <t xml:space="preserve">	Padre André Viana</t>
  </si>
  <si>
    <t>Avenida Heleonildes M. de Menezes, 155 - Vila Esperança, Tatuí - SP ; CEP 18278-005</t>
  </si>
  <si>
    <t>padreandreviana@gmail.com</t>
  </si>
  <si>
    <t xml:space="preserve">	Est Caminho dos Açores, 2118 CEP 88050-300 Florianópolis, SC</t>
  </si>
  <si>
    <t xml:space="preserve">	simoneqy@hotmail.com</t>
  </si>
  <si>
    <t>65 Gécio de Souza e Silva</t>
  </si>
  <si>
    <t xml:space="preserve">	dzsitta@hotmail.com</t>
  </si>
  <si>
    <t>Padre Eduardo Reis</t>
  </si>
  <si>
    <t>sta.faustina.er@gmail.com</t>
  </si>
  <si>
    <t>Tv Dom Romualdo de Seixas 1316/1802,Belém-Pará</t>
  </si>
  <si>
    <t xml:space="preserve">	silvanac.nefro@gmail.com</t>
  </si>
  <si>
    <t>Maria Rozsa</t>
  </si>
  <si>
    <t>7759 Arbor Dr.</t>
  </si>
  <si>
    <t>mariarozsa479@gmail.com</t>
  </si>
  <si>
    <t>US</t>
  </si>
  <si>
    <t>Rua Dona Inês de Castro 13 4 DT 2605-658</t>
  </si>
  <si>
    <t>ceu_almeida@live.com.pt</t>
  </si>
  <si>
    <t>Portugal</t>
  </si>
  <si>
    <t>Veronica De La Rosa Clark</t>
  </si>
  <si>
    <t>1617 Grappenhall Dr</t>
  </si>
  <si>
    <t>myvymy@yahoo.com</t>
  </si>
  <si>
    <t>Dulce Alberton Herdt</t>
  </si>
  <si>
    <t xml:space="preserve">	dulce.herdt@gmail.com</t>
  </si>
  <si>
    <t>Maisa Maia</t>
  </si>
  <si>
    <t>Rua Domingos de Braga 200 bloco 1-43 vl dos remédios são paulo sp 05102090</t>
  </si>
  <si>
    <t xml:space="preserve">	maisa@interbrax.com</t>
  </si>
  <si>
    <t>Elaíne Holanda Ferreira</t>
  </si>
  <si>
    <t>cidade Nova V TV WE 60, 852</t>
  </si>
  <si>
    <t>elainehff@gmail.com</t>
  </si>
  <si>
    <t>Márcia Aguiar Arend</t>
  </si>
  <si>
    <t>Rua Adolfo Gonçalves Aguiar 269</t>
  </si>
  <si>
    <t xml:space="preserve">	arendaguiar77@gmail.com</t>
  </si>
  <si>
    <t>Q 104 Bloco B3 Apt 303, CEP: 71909-180, Brasília-DF</t>
  </si>
  <si>
    <t>paulosouza.eng@gmail.com</t>
  </si>
  <si>
    <t>isabel.malheiro79@gmail.com</t>
  </si>
  <si>
    <t>França</t>
  </si>
  <si>
    <t>Secundino José Esteves da Costa</t>
  </si>
  <si>
    <t>secundino.costa@gmail.com</t>
  </si>
  <si>
    <t>Eduardo Miguel Pinto Fernandes</t>
  </si>
  <si>
    <t xml:space="preserve">	962407487</t>
  </si>
  <si>
    <t xml:space="preserve">	eduardompfernandes@hotmail.com</t>
  </si>
  <si>
    <t>Lucas Santos</t>
  </si>
  <si>
    <t>Deputado Tarcísio de Jesus</t>
  </si>
  <si>
    <t>lucassantos2014616@gmail.com</t>
  </si>
  <si>
    <t>JOSE JOAO DUARTE SANTOS RIBEIRO</t>
  </si>
  <si>
    <t xml:space="preserve">	+351964204080</t>
  </si>
  <si>
    <t>do.joao.ribeiro@gmail.com</t>
  </si>
  <si>
    <t>Paulo Jorge Coelho</t>
  </si>
  <si>
    <t>Rua Francisco Xavier Ataíde de Oliveira LT 33 5F, 8600-775 Lagos</t>
  </si>
  <si>
    <t xml:space="preserve">	pclagos@gmail.com</t>
  </si>
  <si>
    <t>Ana Cristina Silva</t>
  </si>
  <si>
    <t>Rua Barão de Aratanha 145 Centro</t>
  </si>
  <si>
    <t xml:space="preserve">	a_cris_mendes@yahoo.com.br</t>
  </si>
  <si>
    <t>Roberto Chaves</t>
  </si>
  <si>
    <t xml:space="preserve">	Rua Dr.Cesar Paranhos de Godoy,143 - Jardim Chapadão - Campinas -SP</t>
  </si>
  <si>
    <t>19)992923762</t>
  </si>
  <si>
    <t xml:space="preserve">	chavesrober@gmail.com</t>
  </si>
  <si>
    <t xml:space="preserve">	Isabel Maria Almeida Malheiro</t>
  </si>
  <si>
    <t>anasmendonca5@gmail.com</t>
  </si>
  <si>
    <t>Ana Isabel barosa Saragga Mendonça</t>
  </si>
  <si>
    <t>Rua Melo e Sousa, nº 252, Apartamento 262, 2765-253 Estoril, Portugal</t>
  </si>
  <si>
    <t>Danielle Sitta</t>
  </si>
  <si>
    <t>Daniela Soares dos Santos</t>
  </si>
  <si>
    <t>Rua da Pegada, n.2A Pinhal de Óbidos, 2510-171 Óbidos</t>
  </si>
  <si>
    <t>danispagethi@hotmail.com</t>
  </si>
  <si>
    <t>reginarib@terra.com.br</t>
  </si>
  <si>
    <t>Mardja Cassia Cioffi Stadler</t>
  </si>
  <si>
    <t>mardjacioffi@gmail.com</t>
  </si>
  <si>
    <t>Ligia Lobo de Rezende Popolizio</t>
  </si>
  <si>
    <t>Rua Ossian Terceiro Teles, 285 ap 61 São Paulo SP CEP 04649000</t>
  </si>
  <si>
    <t>lpopolizio@bol.com.br</t>
  </si>
  <si>
    <t xml:space="preserve">	Belmira Pulicano</t>
  </si>
  <si>
    <t xml:space="preserve">	11932773377</t>
  </si>
  <si>
    <t>belmirapulicano@hotmail.com</t>
  </si>
  <si>
    <t>Maria Cristina Bizari da Silva</t>
  </si>
  <si>
    <t>Avenida Juscelino K. de Oliveira, número 1220/ Rua 8, casa 71 - Condomínio Recanto Real/ São José do Rio Preto /SP CEP 15.091-450</t>
  </si>
  <si>
    <t>mcbizarisilva@outlook.com.br</t>
  </si>
  <si>
    <t>Maria Emília Santos Andrade Mendes</t>
  </si>
  <si>
    <t xml:space="preserve">	maria.emilia.mendes@gmail.com</t>
  </si>
  <si>
    <t>Rua do Penedo n.°16 Gestosa 3440-128 Santa Comba Dão</t>
  </si>
  <si>
    <t>Cristiana Maria Da Silva Pereira</t>
  </si>
  <si>
    <t>Rua da Baronesa n. 24 Merelim S.Pedro 4700-863 Braga</t>
  </si>
  <si>
    <t>cristianamspereira@hotmail.com</t>
  </si>
  <si>
    <t>0041 78 821 56 78</t>
  </si>
  <si>
    <t>Suiça</t>
  </si>
  <si>
    <t xml:space="preserve">	Daniele Chagas da Silva Santos</t>
  </si>
  <si>
    <t xml:space="preserve">	Rua projetada sn/Q84L531-Plano de Vida Santa Rita/PB</t>
  </si>
  <si>
    <t xml:space="preserve">	(83)999428094</t>
  </si>
  <si>
    <t xml:space="preserve">	dandadm1@gmail.com</t>
  </si>
  <si>
    <t>Ana lucia Alencar pereira</t>
  </si>
  <si>
    <t>Rua Sebastião de Azevedo bastos,190!</t>
  </si>
  <si>
    <t xml:space="preserve">	analucia_alencarpereira@hotmail.com</t>
  </si>
  <si>
    <t>Ana Lúcia Lopes Lessa</t>
  </si>
  <si>
    <t xml:space="preserve">	RUA ARÍDIO MARTINS, 50/602, BLOCO 03</t>
  </si>
  <si>
    <t>analllessa@yahoo.com.br</t>
  </si>
  <si>
    <t>America Duarte Morgado Baptista</t>
  </si>
  <si>
    <t>mekatista@gmail.com</t>
  </si>
  <si>
    <t>Cristina Maria Barros da Conceição</t>
  </si>
  <si>
    <t>Rua da Lagoinha 167 2direito</t>
  </si>
  <si>
    <t>rosamandala@live.com.pt</t>
  </si>
  <si>
    <t>RUA BACCIO DAGNOLO 153 SAO PAULO-SP 05108-070</t>
  </si>
  <si>
    <t>marlucia@asianbrax.com.br</t>
  </si>
  <si>
    <t>Marlucia de Abreu Maoa Kowal</t>
  </si>
  <si>
    <t>Fabiana Simonassi</t>
  </si>
  <si>
    <t>2ª Travessa Artur Seixas, 83 , Vitória da Conquista-Ba</t>
  </si>
  <si>
    <t xml:space="preserve">	77999791746</t>
  </si>
  <si>
    <t>fabiana.simonassi@hotmail.com</t>
  </si>
  <si>
    <t>Nilsy Helena Quintino Madeira</t>
  </si>
  <si>
    <t>Rua Pedro Tursi n. 200- apto 414- bloco 4- Floradas da Serra - São José dos Campos- São Paulo</t>
  </si>
  <si>
    <t>nilsypsy@hotmail.com</t>
  </si>
  <si>
    <t>Ivone Araújo Silva</t>
  </si>
  <si>
    <t xml:space="preserve">	Rua Silvino de Almeida 133 Satélite Juatuba</t>
  </si>
  <si>
    <t>paulivo2914@gmail.com</t>
  </si>
  <si>
    <t>Isabel Specht Nunez</t>
  </si>
  <si>
    <t>Av Princesa Isabel, 669 apto 2701 MA, Barra, Salvador Bahia CEP40130030</t>
  </si>
  <si>
    <t>5571 99985-6531</t>
  </si>
  <si>
    <t>nunezcampos@hotmail.com</t>
  </si>
  <si>
    <t>Maria Helena Vitor Schmidt</t>
  </si>
  <si>
    <t>Rua Maestro Joaquim Rangel, 684</t>
  </si>
  <si>
    <t xml:space="preserve">	mariahvitors@hotmail.com</t>
  </si>
  <si>
    <t xml:space="preserve">	Gylmara de Araújo Pereira</t>
  </si>
  <si>
    <t>gylmaradeapereira@gmail.com</t>
  </si>
  <si>
    <t>Pagamentos</t>
  </si>
  <si>
    <t>N/A</t>
  </si>
  <si>
    <t>Paulo da Silva e Souza Filho</t>
  </si>
  <si>
    <t>Jorge Eduardo Mazzeo</t>
  </si>
  <si>
    <t>Lavalle 705 Carmen de Patagones. C.P. 8504 Provincia de Buenos Aires.</t>
  </si>
  <si>
    <t>mazzeorama@hotmail.com.ar</t>
  </si>
  <si>
    <t>Argentina</t>
  </si>
  <si>
    <t>Vívian Cristiane Guerreiro Leal Dias</t>
  </si>
  <si>
    <t>Rua Dezenove de Fevereiro 45, 808 bloco 2</t>
  </si>
  <si>
    <t>vivian.vcgl@gmail.com</t>
  </si>
  <si>
    <t>Lupita Real</t>
  </si>
  <si>
    <t>1704 w yampa st</t>
  </si>
  <si>
    <t>reallupini@hotmail.com</t>
  </si>
  <si>
    <t>Patrícia Pavan Coutinho Abreu</t>
  </si>
  <si>
    <t>AV ESTUDANTE JOSE JÚLIO DE SOUSA 2000, apto 602, Praia de Itaparica, Vila Velha/ES</t>
  </si>
  <si>
    <t>patricia_tfns@hotmail.com</t>
  </si>
  <si>
    <t>Nelza M Z Mecabo</t>
  </si>
  <si>
    <t>nelza.azlen@gmail.com</t>
  </si>
  <si>
    <t>SUZANA CARMO CARRUSCA</t>
  </si>
  <si>
    <t>suzana.acc.mendes@gmail.com</t>
  </si>
  <si>
    <t>Jose Hercy Ponte de Alencar</t>
  </si>
  <si>
    <t>hercyalencar@hotmail.com</t>
  </si>
  <si>
    <t>fernandabragadesousa@hotmail.com</t>
  </si>
  <si>
    <t>Fernanda Maria Braga de Sousa</t>
  </si>
  <si>
    <t>Rua Gontran Giffoni 366</t>
  </si>
  <si>
    <t>Joan Smith</t>
  </si>
  <si>
    <t>15024 Garden Park, Baton Rouge, Louisiana 70817</t>
  </si>
  <si>
    <t>1-225-288-7318</t>
  </si>
  <si>
    <t>saints33@startmail.com</t>
  </si>
  <si>
    <t>USA</t>
  </si>
  <si>
    <t>Australia</t>
  </si>
  <si>
    <t>Rohan Fonseka</t>
  </si>
  <si>
    <t>sesaroint@gmail.com</t>
  </si>
  <si>
    <t>25 OLINDA GROVE OAKLEIGH SOUTH VICTORIA</t>
  </si>
  <si>
    <t>Olimpia Margarida Paiva Lopes dos Santos</t>
  </si>
  <si>
    <t>olimpiamplsantos@gmail.com</t>
  </si>
  <si>
    <t>Artur Soares de Sousa</t>
  </si>
  <si>
    <t>Rua do Louredo 416 4500-071 Anta Espinho</t>
  </si>
  <si>
    <t>Ana da Silva Rodrigues</t>
  </si>
  <si>
    <t>Andrea Fonseca de Oliveira</t>
  </si>
  <si>
    <t>Rua Jordão de Oliveira 513 Bairro: Atalaia - Aracaju/Sergipe</t>
  </si>
  <si>
    <t>andreaoliveiraarquiteta@gmail.com</t>
  </si>
  <si>
    <t>Rui Pedro Tavares Varela Silvestre</t>
  </si>
  <si>
    <t>Rua Bernardino Machado n.°8, R/C-A; 2685-164 Sacavém LRS</t>
  </si>
  <si>
    <t>psilvestre7@gmail.com</t>
  </si>
  <si>
    <t>Mariah Melendrez Tartaglia</t>
  </si>
  <si>
    <t>229 Crestwood Arch</t>
  </si>
  <si>
    <t>OurLadiesOfGarabandal@yahoo.com</t>
  </si>
  <si>
    <t>Lucas Lopes</t>
  </si>
  <si>
    <t>Rua de Santa Marinha N2916, Anais, 4990-501 Ponte de Lima</t>
  </si>
  <si>
    <t>seguros.mlopes@icloud.com</t>
  </si>
  <si>
    <t>PIX</t>
  </si>
  <si>
    <t>Forma de pagamento 2024</t>
  </si>
  <si>
    <t>CARTÃO DE CRÉDITO - STRIPE</t>
  </si>
  <si>
    <t>TOTAL</t>
  </si>
  <si>
    <t>Nº MEMBRO ASSOCIADO</t>
  </si>
  <si>
    <t>Nome completo</t>
  </si>
  <si>
    <t>Categoria de membro</t>
  </si>
  <si>
    <t>Nº Fiscal</t>
  </si>
  <si>
    <t>Maria Antonia SOTTOMAYOR Pacheco de Amorim</t>
  </si>
  <si>
    <t>Rua pedro homem de Melo 187. 2.2 4150/599 porto</t>
  </si>
  <si>
    <t xml:space="preserve">	tonasottomayor@hotmail.com</t>
  </si>
  <si>
    <t>Emitido recibo</t>
  </si>
  <si>
    <t>SIM</t>
  </si>
  <si>
    <t>forma de pagamento 2025</t>
  </si>
  <si>
    <t>Cartão de crédito Stripe</t>
  </si>
  <si>
    <t>Pagou duas vezes??</t>
  </si>
  <si>
    <t>Transferência bancária</t>
  </si>
  <si>
    <t>CEP/ Código Postal</t>
  </si>
  <si>
    <t>4990-501</t>
  </si>
  <si>
    <t>4000-535</t>
  </si>
  <si>
    <t>2605-658</t>
  </si>
  <si>
    <t>80250-020</t>
  </si>
  <si>
    <t>Rua Lamenha Lins 530 apartamento 142B, curitiba, Paraná</t>
  </si>
  <si>
    <t>66093-671</t>
  </si>
  <si>
    <t>Travessa Lomas Valentinas 1649, Bairro Marco,  Belém, Pará</t>
  </si>
  <si>
    <t>49037-330</t>
  </si>
  <si>
    <t>05006 - 000</t>
  </si>
  <si>
    <t xml:space="preserve">	Rua Itapicuru 380 apto 34, Perdizes S. Paulo</t>
  </si>
  <si>
    <t>13070-075</t>
  </si>
  <si>
    <t>45028-195</t>
  </si>
  <si>
    <t>88051 - 210</t>
  </si>
  <si>
    <t>8300 - 181</t>
  </si>
  <si>
    <t>Rua SACADURA CABRAL 3, Silves</t>
  </si>
  <si>
    <t>24240-170</t>
  </si>
  <si>
    <t>4150 - 599</t>
  </si>
  <si>
    <t>88050-300</t>
  </si>
  <si>
    <t>05108-070</t>
  </si>
  <si>
    <t>18278-005</t>
  </si>
  <si>
    <t>Rua Coronel Ari Capela 172, Florianopolis, SC</t>
  </si>
  <si>
    <t>8803 - 7250</t>
  </si>
  <si>
    <t>4700-863</t>
  </si>
  <si>
    <t>o4649000</t>
  </si>
  <si>
    <t>2510-171</t>
  </si>
  <si>
    <t>2765-171</t>
  </si>
  <si>
    <t>8600-775</t>
  </si>
  <si>
    <t>71909-180</t>
  </si>
  <si>
    <t>4730-745</t>
  </si>
  <si>
    <t>18, rue des Raviéres 25470 Jougne / Rua da Misericórdia 159, 2 esquerdo poente , Vila Verde e Barbudo</t>
  </si>
  <si>
    <t>4500-071</t>
  </si>
  <si>
    <t>2685-164</t>
  </si>
  <si>
    <t>18, rue des Ravières /  Rua da Misericórdia 159, 2 esquerdo poente , Vila Verde e Barbudo</t>
  </si>
  <si>
    <t>Alameda Francisco Elias Pereira, 110 JD Holanda</t>
  </si>
  <si>
    <t>Rua Guaxupé, 120/301, Rio de Janeiro</t>
  </si>
  <si>
    <t>20510-400</t>
  </si>
  <si>
    <t>66055 -200</t>
  </si>
  <si>
    <t>14025 - 610</t>
  </si>
  <si>
    <t>Rua Ipê Roxo 89, Florianópolis , SC</t>
  </si>
  <si>
    <t>88062-282</t>
  </si>
  <si>
    <t>8135 .033</t>
  </si>
  <si>
    <t>Estrada de Vale de Éguas, n.º 68, Almancil</t>
  </si>
  <si>
    <t>Rua Tiburcio Cavalcante, 1324 - Apt 1602, Fortaleza, Seará</t>
  </si>
  <si>
    <t>Rua fortaleza, 134 Bairro, Saguaçu, Joinville, SC</t>
  </si>
  <si>
    <t>Rua Euzely Fabrício de Souza 520, João Pessoa , PB</t>
  </si>
  <si>
    <t>FR 2025/50</t>
  </si>
  <si>
    <t>FR 2025/51</t>
  </si>
  <si>
    <t>FR 2025/52</t>
  </si>
  <si>
    <t>FR 2025/89</t>
  </si>
  <si>
    <t>FR 2025/53</t>
  </si>
  <si>
    <t>FR 2025/54</t>
  </si>
  <si>
    <t>FR 2025/55</t>
  </si>
  <si>
    <t>FR 2025/56</t>
  </si>
  <si>
    <t>FR 2025/57</t>
  </si>
  <si>
    <t>FR 2025/58</t>
  </si>
  <si>
    <t>FR 2025/59</t>
  </si>
  <si>
    <t>Isento de pagamento de quota</t>
  </si>
  <si>
    <t>FR 2025/60</t>
  </si>
  <si>
    <t>FR 2025/61</t>
  </si>
  <si>
    <t>FR 2025/62</t>
  </si>
  <si>
    <t>FR 2025/63</t>
  </si>
  <si>
    <t>FR 2025/64</t>
  </si>
  <si>
    <t>FR 2025/65</t>
  </si>
  <si>
    <t>FR 2025/91</t>
  </si>
  <si>
    <t>FR 2025/66</t>
  </si>
  <si>
    <t>FR 2025/67</t>
  </si>
  <si>
    <t>FR 2025/68</t>
  </si>
  <si>
    <t>FR 2025/69</t>
  </si>
  <si>
    <t>FR 2025/70</t>
  </si>
  <si>
    <t>FR 2025/71</t>
  </si>
  <si>
    <t>FR 2025/72</t>
  </si>
  <si>
    <t>FR 2025/73</t>
  </si>
  <si>
    <t>FR 2025/74</t>
  </si>
  <si>
    <t>FR 2025/75</t>
  </si>
  <si>
    <t>FR 2025/76</t>
  </si>
  <si>
    <t>Foi paga em 2024</t>
  </si>
  <si>
    <t>FR 2025/77</t>
  </si>
  <si>
    <t>FR 2025/78</t>
  </si>
  <si>
    <t>FR 2025/79</t>
  </si>
  <si>
    <t>FR 2025/80</t>
  </si>
  <si>
    <t>FR 2025/81</t>
  </si>
  <si>
    <t>FR 2025/82</t>
  </si>
  <si>
    <t>FR 2025/83</t>
  </si>
  <si>
    <t>FR 2025/84</t>
  </si>
  <si>
    <t>FR 2025/85</t>
  </si>
  <si>
    <t>FR 2025/86</t>
  </si>
  <si>
    <t>FR 2025/87</t>
  </si>
  <si>
    <t>FR 2025/90</t>
  </si>
  <si>
    <t>FR 2025/88</t>
  </si>
  <si>
    <t>verificar se tenho de passar outro recibo</t>
  </si>
  <si>
    <t>FR 2025/94</t>
  </si>
  <si>
    <t>FR 2025/92</t>
  </si>
  <si>
    <t>FR 2025/93</t>
  </si>
  <si>
    <t>Francisco Baptista Vahia Teixeira Pessoa</t>
  </si>
  <si>
    <t>Rua Serafim Silva Lopes 119 4465-261</t>
  </si>
  <si>
    <t>4465-261</t>
  </si>
  <si>
    <t>franciscoempessoa@gmail.com</t>
  </si>
  <si>
    <t>FR 2025/130</t>
  </si>
  <si>
    <t>MARIA DO CÉU ESTEVES DAS NEVES</t>
  </si>
  <si>
    <t>TRAVESSA DOS MOINHOS Nº16 - TURCIFAL, 2565-818 TORRES VEDRAS</t>
  </si>
  <si>
    <t>2565-818</t>
  </si>
  <si>
    <t>ceugualdino@hotmail.com</t>
  </si>
  <si>
    <t>FR 2025/ 131</t>
  </si>
  <si>
    <t>Pe. Vitor Fonseca de Souza</t>
  </si>
  <si>
    <t>Travessa do Espírito Santo 20, 6400-365 PINHEL</t>
  </si>
  <si>
    <t>6400-365</t>
  </si>
  <si>
    <t xml:space="preserve">	vialuz66@hotmail.com</t>
  </si>
  <si>
    <t>FR 2025/144</t>
  </si>
  <si>
    <t>Marco Antonio Feitosa Araujo</t>
  </si>
  <si>
    <t>R. Mal. Arthur Alvim Camara, 101 - Apto.402 - Jatiuca - Maceió/AL - CEP:57036.720</t>
  </si>
  <si>
    <t>57036.720</t>
  </si>
  <si>
    <t>marcoaraujo71@gmail.com</t>
  </si>
  <si>
    <t>FR 2025/145</t>
  </si>
  <si>
    <t>Paypal Stripe</t>
  </si>
  <si>
    <t>Pedro Maria Cameira de Sousa Botelho</t>
  </si>
  <si>
    <t>Rua Dr Melo Leote, nº 12</t>
  </si>
  <si>
    <t xml:space="preserve">	pedrodesousabotelho@gmail.com</t>
  </si>
  <si>
    <t>Virgílio Manuel Aguilar da Silva Roque</t>
  </si>
  <si>
    <t>3515-773</t>
  </si>
  <si>
    <t>Quinta do Fojo, Casal Gozo Lordosa</t>
  </si>
  <si>
    <t>virgilioroque@gmail.com</t>
  </si>
  <si>
    <t>Clara Maria Querido Bonito</t>
  </si>
  <si>
    <t>clara.queridobonito@gmail.com</t>
  </si>
  <si>
    <t>Rua Mira Serra, 10 - R/c Frt. 2710-439 Sintra</t>
  </si>
  <si>
    <t>2710-439</t>
  </si>
  <si>
    <t>FR 2025/146</t>
  </si>
  <si>
    <t>3440-128</t>
  </si>
  <si>
    <t>KAROLINA VYVYAN LOPES DA SILVA</t>
  </si>
  <si>
    <t>Rua De Luz Soriano</t>
  </si>
  <si>
    <t>4200-381</t>
  </si>
  <si>
    <t>karolina.vyvyan35@gmail.com</t>
  </si>
  <si>
    <t>FR 2025/155</t>
  </si>
  <si>
    <t>FR 2025/180</t>
  </si>
  <si>
    <t>Ana Catarina de Matos Costa</t>
  </si>
  <si>
    <t>Rua da Escola Nova, lote 20b, 1º andar - Gumirães</t>
  </si>
  <si>
    <t xml:space="preserve">3500-013 </t>
  </si>
  <si>
    <t>caty.mcosta@gmail.com</t>
  </si>
  <si>
    <t>FR 2025/195</t>
  </si>
  <si>
    <t>Maria de Fatima Martins dos Reis</t>
  </si>
  <si>
    <t>MARIA DE LURDES GONÇALVES ALMEIDA</t>
  </si>
  <si>
    <t>RUA DO CHAFARIZ, 4 MONTE LEAL</t>
  </si>
  <si>
    <t>6230-783</t>
  </si>
  <si>
    <t>Não tem</t>
  </si>
  <si>
    <t>FR 2025/209</t>
  </si>
  <si>
    <t>6230-366</t>
  </si>
  <si>
    <t>Rua José Germano da Cunha , n 33,  Fundão</t>
  </si>
  <si>
    <t>FR 2025/210</t>
  </si>
  <si>
    <t>Juliana graciosa pereira</t>
  </si>
  <si>
    <t>Avenida Wilson Castelo Branco, 700, casa 282</t>
  </si>
  <si>
    <t>julianagraciosa@gmail.com</t>
  </si>
  <si>
    <t>Maria de Fátima Costa Mendes</t>
  </si>
  <si>
    <t>Rua Francisco Marques Beato 77 3D Moscavide</t>
  </si>
  <si>
    <t>1885-034</t>
  </si>
  <si>
    <t>fatimacmendes55@gmail.com</t>
  </si>
  <si>
    <t>FR 2025/212</t>
  </si>
  <si>
    <t>forma de pagamento 2026</t>
  </si>
  <si>
    <t>FR 2025/227</t>
  </si>
  <si>
    <t>João da Costa Nunes Mendes</t>
  </si>
  <si>
    <t>Rua Virgílio Correia, 32</t>
  </si>
  <si>
    <t xml:space="preserve">	1600-224 Lisboa</t>
  </si>
  <si>
    <t xml:space="preserve">	joaocnmendes@gmail.com</t>
  </si>
  <si>
    <t>ANA SOPHIA SILVA RAMOS DE AGUIAR</t>
  </si>
  <si>
    <t>Rua Engenheiro Isaac Milder 342 / apt 131</t>
  </si>
  <si>
    <t>anasophiaaguiar@gmail.com</t>
  </si>
  <si>
    <t>Valéria Castro</t>
  </si>
  <si>
    <t>Rua Lise Losa 36</t>
  </si>
  <si>
    <t>4350-009</t>
  </si>
  <si>
    <t>Valeriacbcastro@gmail.com</t>
  </si>
  <si>
    <t>FR 2025/306</t>
  </si>
  <si>
    <t>Maria Ana Vaz de Almada</t>
  </si>
  <si>
    <t>Rua pêro de alenquer 183 Porto</t>
  </si>
  <si>
    <t>4150-616</t>
  </si>
  <si>
    <t>mariaanaalmada64@gmail.com</t>
  </si>
  <si>
    <t>FR 2025/314</t>
  </si>
  <si>
    <t>Maria do Céu  Santos</t>
  </si>
  <si>
    <t>falta +assar</t>
  </si>
  <si>
    <t xml:space="preserve">	Anabela da Silva Pardal</t>
  </si>
  <si>
    <t>Rua Vale dos Poços, n°4, Pinheiros / Chãos</t>
  </si>
  <si>
    <t>2240-300</t>
  </si>
  <si>
    <t>anabela_pardal@hotmail.com</t>
  </si>
  <si>
    <t>Marta Caldeira dos Santos</t>
  </si>
  <si>
    <t xml:space="preserve">	1975.m.c.santos@gmail.com</t>
  </si>
  <si>
    <t>Rua Principal n 17</t>
  </si>
  <si>
    <t>2665-053</t>
  </si>
  <si>
    <t xml:space="preserve">	927032641</t>
  </si>
  <si>
    <t xml:space="preserve">Paypal </t>
  </si>
  <si>
    <t>FR 2025/463</t>
  </si>
  <si>
    <t>FR 2025/261</t>
  </si>
  <si>
    <t>FR 2025/267</t>
  </si>
  <si>
    <t>FR 2025/147</t>
  </si>
  <si>
    <t>FR 2025/158</t>
  </si>
  <si>
    <t>Deposito bancário</t>
  </si>
  <si>
    <t>FR 2025/479</t>
  </si>
  <si>
    <t>Belén Rama</t>
  </si>
  <si>
    <t>Falta passar recibo</t>
  </si>
  <si>
    <t>Fazer Deposito bancário</t>
  </si>
  <si>
    <t>1704 w yampa st- Colorado Springs, CO 80904, EUA</t>
  </si>
  <si>
    <t>FR2025/496</t>
  </si>
  <si>
    <t>cristinamargarida@hotmail.com</t>
  </si>
  <si>
    <t>ruinovocosta@outlook.com</t>
  </si>
  <si>
    <t>FR 2025/553</t>
  </si>
  <si>
    <t>Padre Rodrigo Anael de Paulo</t>
  </si>
  <si>
    <t>Rua Cyro Eduardo Rosa Faleiros, 97. Centro. Restinga - São Paulo</t>
  </si>
  <si>
    <t>14.430-000</t>
  </si>
  <si>
    <t>(16) 992400909</t>
  </si>
  <si>
    <t>perodrigodf@gmail.com</t>
  </si>
  <si>
    <t>FR 2025/556</t>
  </si>
  <si>
    <t>Henriqueta Maria Almeida da Rocha Antonini</t>
  </si>
  <si>
    <t>Av cel José Venâncio, 128 apt 82</t>
  </si>
  <si>
    <t>14770-019</t>
  </si>
  <si>
    <t>quequealmeida@hotmail.com</t>
  </si>
  <si>
    <t>FR 2025/613</t>
  </si>
  <si>
    <t>Rosângela Marques Duarte</t>
  </si>
  <si>
    <t>Rua Abelardo Barreto, 100, apto 2202B</t>
  </si>
  <si>
    <t>58046-110</t>
  </si>
  <si>
    <t xml:space="preserve">	rose_marquesd@hotmail.com</t>
  </si>
  <si>
    <t>FR 2025/626</t>
  </si>
  <si>
    <t>Lia Hering de Queiroz Yunes</t>
  </si>
  <si>
    <t>Rod Haroldo Soares Glavan 3450 casa 216 Cacupé</t>
  </si>
  <si>
    <t>88050-005</t>
  </si>
  <si>
    <t xml:space="preserve">	liaqueiroz@hotmail.com</t>
  </si>
  <si>
    <t>AURO APARECIDO MAIA DE ANDRADE</t>
  </si>
  <si>
    <t xml:space="preserve">	auroaparecidomaiadeandrade@gmail.com</t>
  </si>
  <si>
    <t>Avenida Álvares Cabral 1155,apartamento 801, bairro Lourdes, cidade de Belo Horizonte, Estado de Minas Gerais, Brasil</t>
  </si>
  <si>
    <t>31-98016-0004</t>
  </si>
  <si>
    <t>HELISIANE BORGES DE PÁDUA ANDRADE</t>
  </si>
  <si>
    <t>helisiane.andrade@trf6.jus.br</t>
  </si>
  <si>
    <t>(31)98041-0003</t>
  </si>
  <si>
    <t>FR 2025/660</t>
  </si>
  <si>
    <t>FR 2025/661</t>
  </si>
  <si>
    <t>FR 2025/635</t>
  </si>
  <si>
    <t>PAULO RANGEL DE VIEIRA</t>
  </si>
  <si>
    <t>Rua Aporé, Qd. A, Lt. 2-A, Condominio Residencial Brasília Sul, Vila Brasília, Aparecida de Goiânia, Goiás</t>
  </si>
  <si>
    <t>74905-142</t>
  </si>
  <si>
    <t>paulorangelibbis@gmail.com</t>
  </si>
  <si>
    <t>Luis Antonio Fagundes</t>
  </si>
  <si>
    <t>Rua Pernambuco 883 apt 301</t>
  </si>
  <si>
    <t>95705- 188</t>
  </si>
  <si>
    <t xml:space="preserve">	castorlaf66@gmail.com</t>
  </si>
  <si>
    <t>401.693.750-72</t>
  </si>
  <si>
    <t>FR 2025/673</t>
  </si>
  <si>
    <t>Margarete Lúcia Borges e Castro</t>
  </si>
  <si>
    <t>Rua José Mateus dos Santos 84 Bairro Monsenhor Otaviano</t>
  </si>
  <si>
    <t xml:space="preserve">	margaretelbc@gmail.com</t>
  </si>
  <si>
    <t>FR 2025/707</t>
  </si>
  <si>
    <t>FR 2025/708</t>
  </si>
  <si>
    <t>Paula Cristina Jorge Soares Pinheiro</t>
  </si>
  <si>
    <t>Rua Dom António Francisco Marques, Lote 43, 1 Dto</t>
  </si>
  <si>
    <t>2005-352 	Santarém</t>
  </si>
  <si>
    <t>paula.pinheiro@ulsleziria.min-saude.pt</t>
  </si>
  <si>
    <t>Isidoro Petroli</t>
  </si>
  <si>
    <t>Rua Júlio de Castilhos, 471/Apto 603</t>
  </si>
  <si>
    <t>95700-070  Bento Gonçalves</t>
  </si>
  <si>
    <t>petroli.isidoro@gmail.com</t>
  </si>
  <si>
    <t>354.372.000-72</t>
  </si>
  <si>
    <t>FR 2025/710</t>
  </si>
  <si>
    <t>Roberta Muniz Junqueira de Almeida</t>
  </si>
  <si>
    <t>Avenida Vereador Pedro Osvaldo Basso 22/</t>
  </si>
  <si>
    <t>14.770-007</t>
  </si>
  <si>
    <t xml:space="preserve">	robertamjunqueira@yahoo.com.br</t>
  </si>
  <si>
    <t>Maria Alice Almeida da Rocha</t>
  </si>
  <si>
    <t>Rua José Pedro Daraya, 20 Bairro Patrimônio</t>
  </si>
  <si>
    <t>14 770-508</t>
  </si>
  <si>
    <t>+55 (17) 996 19 60 36</t>
  </si>
  <si>
    <t>112 894 028 09</t>
  </si>
  <si>
    <t xml:space="preserve">	lilitaalmeida@gmail.com</t>
  </si>
  <si>
    <t>FR 2025/714</t>
  </si>
  <si>
    <t>FR 2025/715</t>
  </si>
  <si>
    <t>Maria de Fátima Mari cocenzo</t>
  </si>
  <si>
    <t>Av marginal br 153 , Raízes imperial quadra 3 casa 23</t>
  </si>
  <si>
    <t>15118110 Bady bassit</t>
  </si>
  <si>
    <t xml:space="preserve">	facocenzo@hotmail.com</t>
  </si>
  <si>
    <t>Izabel Cristina Borges Rodrigues</t>
  </si>
  <si>
    <t>Praça cel Carlos Bernardes,172 /701</t>
  </si>
  <si>
    <t>35590030 Lagoa da Prata</t>
  </si>
  <si>
    <t>izabel.borges.rodrigues@gmail.com</t>
  </si>
  <si>
    <t>FR 2025/724</t>
  </si>
  <si>
    <t>FR 2025/725</t>
  </si>
  <si>
    <t>Nicolle Costa</t>
  </si>
  <si>
    <t>FR 2025/726</t>
  </si>
  <si>
    <t>ALAMEDA DOS CRISANTEMOS QD 14 LT 10 CONDOMÍNIO JARDINS VIENA</t>
  </si>
  <si>
    <t>74935-189 Aparecida de Goiania</t>
  </si>
  <si>
    <t>nicollemoulin@gmail.com</t>
  </si>
  <si>
    <t>Elaine Lélis Rocha Derzy Amazonas</t>
  </si>
  <si>
    <t>Rua Tacio Fragoso 90</t>
  </si>
  <si>
    <t>Manaus 69058553</t>
  </si>
  <si>
    <t>elalelis19@gmail.com</t>
  </si>
  <si>
    <t>FR 2025/728</t>
  </si>
  <si>
    <t>FR 2025/727</t>
  </si>
  <si>
    <t>FR 2025/729</t>
  </si>
  <si>
    <t>R. Regiani Merighi Bega , 361</t>
  </si>
  <si>
    <t>15063067- São José do Rio Preto</t>
  </si>
  <si>
    <t>cleodneves@gmail.com</t>
  </si>
  <si>
    <t>FR 2025/740</t>
  </si>
  <si>
    <t>LELIA DERZY AMAZONAS MARINHO</t>
  </si>
  <si>
    <t>Rua Waldemar Jardim Maues, 1041 - Condomínio Vila Gaia, casa 63 - Novo Aleixo</t>
  </si>
  <si>
    <t>69098455 -Manaus - Amazonas</t>
  </si>
  <si>
    <t>145.761.802-82</t>
  </si>
  <si>
    <t>lelia.marinho@hotmail.com</t>
  </si>
  <si>
    <t>FR 2025/732</t>
  </si>
  <si>
    <t>Maysa de Menezes Aguiar Cordeiro</t>
  </si>
  <si>
    <t>Rua Professor Castelo Branco 46 apto 901 D2</t>
  </si>
  <si>
    <t xml:space="preserve">69055-090 - Manaus - AmAZONAS </t>
  </si>
  <si>
    <t>184.056.222-68</t>
  </si>
  <si>
    <t>maysamacordeiro@gmail.com</t>
  </si>
  <si>
    <t>FR 2025/733</t>
  </si>
  <si>
    <t>Rua Henrique Maciel de Lima,1906 Igreja Menino Jesus</t>
  </si>
  <si>
    <t>59615310 - Mossoró</t>
  </si>
  <si>
    <t>pejalfredo@gmail.com</t>
  </si>
  <si>
    <t>241.611.103-59</t>
  </si>
  <si>
    <t>FR 2025/738</t>
  </si>
  <si>
    <t>MARIA JOSE DE LUCA COLTRO</t>
  </si>
  <si>
    <t>Rua Luiz Tramontin, 1220 - Casa 20</t>
  </si>
  <si>
    <t>81230161 - Curitiba</t>
  </si>
  <si>
    <t>610552209-68</t>
  </si>
  <si>
    <t>mjluca17@gmail.com</t>
  </si>
  <si>
    <t>FR 2025/739</t>
  </si>
  <si>
    <t>Lucilene Sigsgaard</t>
  </si>
  <si>
    <t>Hauptstr 21A</t>
  </si>
  <si>
    <t>67297 - Marnheim</t>
  </si>
  <si>
    <t xml:space="preserve">	lena.sigsgaard@gmail.com</t>
  </si>
  <si>
    <t>Alemanha</t>
  </si>
  <si>
    <t>Márcia de Alcantara Whately</t>
  </si>
  <si>
    <t>Rua Wilson Gonzales 240</t>
  </si>
  <si>
    <t>14027-170 - Ribeirão Preto</t>
  </si>
  <si>
    <t>marciaaw@terra.com.br</t>
  </si>
  <si>
    <t>129.951.638-65</t>
  </si>
  <si>
    <t>FR 2025/735</t>
  </si>
  <si>
    <t>CLEONICE DONIZETTE DAS NEVES</t>
  </si>
  <si>
    <t>MARILUCI DO CARMO ANDRADE</t>
  </si>
  <si>
    <t>Rua Mena Barreto, 118</t>
  </si>
  <si>
    <t>07033-250 - Guarulhos</t>
  </si>
  <si>
    <t>mariluci_andrade@hotmail.com</t>
  </si>
  <si>
    <t>FR 2025/752</t>
  </si>
  <si>
    <t>Shella Bodart RAMALHETE GAMEIRO</t>
  </si>
  <si>
    <t>Rua Elzira Vivacqua, 270/702B</t>
  </si>
  <si>
    <t>29090-350 - Vitoria</t>
  </si>
  <si>
    <t xml:space="preserve">	shellabodart@gmail.com</t>
  </si>
  <si>
    <t>FR 2025/761</t>
  </si>
  <si>
    <t>Carlos Gil Camarinha Martínez</t>
  </si>
  <si>
    <t>Rua Bartolomeu Dias 28, 3º DT FT</t>
  </si>
  <si>
    <t>carlosgilven@gmail.com</t>
  </si>
  <si>
    <t>3885-442 Esmoriz</t>
  </si>
  <si>
    <t>Patrícia Ribeiro Tempesta Bertochi</t>
  </si>
  <si>
    <t>Avenida Jorge Haddad, 775</t>
  </si>
  <si>
    <t>FR 2025/806</t>
  </si>
  <si>
    <t>FR 2025/803</t>
  </si>
  <si>
    <t>patimail@gmail.com</t>
  </si>
  <si>
    <t xml:space="preserve">	+5516997019902</t>
  </si>
  <si>
    <t>14810-287 Araraquara</t>
  </si>
  <si>
    <t>Marcelo de Paula Ferreira</t>
  </si>
  <si>
    <t>Rua Tiradentes 1167</t>
  </si>
  <si>
    <t>15904006 Taquaritinga</t>
  </si>
  <si>
    <t>marcelodepaulaferreira@gmail.com</t>
  </si>
  <si>
    <t>Recibo nº</t>
  </si>
  <si>
    <t>Via PIX - REDUNIQ</t>
  </si>
  <si>
    <t>FR 2026Q/2</t>
  </si>
  <si>
    <t xml:space="preserve">FR 2026Q/1 </t>
  </si>
  <si>
    <t>Joel Marques Dias</t>
  </si>
  <si>
    <t>Rua Guilherme Teixeira Mesquita Borges 68 Bairro São Paulo</t>
  </si>
  <si>
    <t>35.560-000 Santo Antônio do Monte Minas Gerais</t>
  </si>
  <si>
    <t>(55) 37-99138-4039</t>
  </si>
  <si>
    <t>pazulacademia5946@gmail.com</t>
  </si>
  <si>
    <t>030.817.846-70</t>
  </si>
  <si>
    <t>FR 2026Q/4</t>
  </si>
  <si>
    <t>FR 2026Q/3</t>
  </si>
  <si>
    <t>FR 2026Q/5</t>
  </si>
  <si>
    <t>FR 2026Q/6</t>
  </si>
  <si>
    <t>FR 2026Q/7</t>
  </si>
  <si>
    <t>FR 2026Q/9</t>
  </si>
  <si>
    <t>Pagamento via PIX</t>
  </si>
  <si>
    <t>FR 2026Q/10</t>
  </si>
  <si>
    <t>Ysabel Teresa Rodriguez De Camarinha</t>
  </si>
  <si>
    <t>Rua Bartolomeu Dias</t>
  </si>
  <si>
    <t>3885-442  Esmoriz</t>
  </si>
  <si>
    <t>ycamarinha@gmail.com</t>
  </si>
  <si>
    <t>REDUNIQ - APPLEPAY</t>
  </si>
  <si>
    <t>FR 2026Q/11</t>
  </si>
  <si>
    <t>FR 2026Q/12</t>
  </si>
  <si>
    <t>FR 2026Q/14</t>
  </si>
  <si>
    <t>FR 2026Q/15</t>
  </si>
  <si>
    <t>transferencia bancária</t>
  </si>
  <si>
    <t>FR 2026Q/16</t>
  </si>
  <si>
    <t>FR 2026Q/17</t>
  </si>
  <si>
    <t>VIA MBWAY - REDUNIQ</t>
  </si>
  <si>
    <t>FR 2026Q/19</t>
  </si>
  <si>
    <t>Via Multibanco - REDUNIQ</t>
  </si>
  <si>
    <t>FR 2026Q/20</t>
  </si>
  <si>
    <t>Via Pix - REDUNIQ</t>
  </si>
  <si>
    <t>FR 2026Q/21</t>
  </si>
  <si>
    <t>FR 2026Q/22</t>
  </si>
  <si>
    <t>FR 2026Q/23</t>
  </si>
  <si>
    <t>FR 2026Q/24</t>
  </si>
  <si>
    <t>Pe. João Alfredo de Miranda Mota</t>
  </si>
  <si>
    <t>FR 2026Q/25</t>
  </si>
  <si>
    <t>FR 2026Q/26</t>
  </si>
  <si>
    <t>FR 2026Q/27</t>
  </si>
  <si>
    <t xml:space="preserve">MBWAY </t>
  </si>
  <si>
    <t>FR 2026Q/28</t>
  </si>
  <si>
    <t>FR 2026Q/29</t>
  </si>
  <si>
    <t>MBWAY</t>
  </si>
  <si>
    <t>FR 2026Q/30</t>
  </si>
  <si>
    <t>FR 2026Q/31</t>
  </si>
  <si>
    <t>FR 2026Q/32</t>
  </si>
  <si>
    <t>FR 2026Q/33</t>
  </si>
  <si>
    <t>FR 2026Q/34</t>
  </si>
  <si>
    <t>FR 2026Q/35</t>
  </si>
  <si>
    <t>forma de pagamento 2027</t>
  </si>
  <si>
    <t>VIA MULTIBANCO - REDUNIQ</t>
  </si>
  <si>
    <t>FR 2026Q/36</t>
  </si>
  <si>
    <t>FR 2026Q/37</t>
  </si>
  <si>
    <t>FR 2026Q/38</t>
  </si>
  <si>
    <t>Eliete Luzia Vitor</t>
  </si>
  <si>
    <t>Rua da Mata 684</t>
  </si>
  <si>
    <t>elieteluziavictor2@gmail.com</t>
  </si>
  <si>
    <t>FR 2026Q/39</t>
  </si>
  <si>
    <t>FR 2026Q/40</t>
  </si>
  <si>
    <t>Via MBWAY - REDUNIQ</t>
  </si>
  <si>
    <t>FR 2026Q/41</t>
  </si>
  <si>
    <t>Gabriela Maineri Azevedo</t>
  </si>
  <si>
    <t>Av Tereziano Vallin 40</t>
  </si>
  <si>
    <t>São joão da Boa Vista 13870140</t>
  </si>
  <si>
    <t>gabiimaineri@yahoo.com.br</t>
  </si>
  <si>
    <t>Sem</t>
  </si>
  <si>
    <t>VIA STRIPE - CARTÃO CRÉDITO</t>
  </si>
  <si>
    <t>FR 2026Q/43</t>
  </si>
  <si>
    <t>FR 2026Q/44</t>
  </si>
  <si>
    <t>FR 2026Q/45</t>
  </si>
  <si>
    <t>Honorífico</t>
  </si>
  <si>
    <t>Danielle Basta Delai Vidoti</t>
  </si>
  <si>
    <t>Fazenda bom pastor</t>
  </si>
  <si>
    <t>78000000 - Cuiabá</t>
  </si>
  <si>
    <t>FR 2026Q/42</t>
  </si>
  <si>
    <t>delaividoti@gmail.com</t>
  </si>
  <si>
    <t>FR 2026Q/48</t>
  </si>
  <si>
    <t>FR 2026Q/50</t>
  </si>
  <si>
    <t>FR 2026Q/51</t>
  </si>
  <si>
    <t>FR 2026Q/52</t>
  </si>
  <si>
    <t>FR 2026Q/49</t>
  </si>
  <si>
    <t>MBWAY direto</t>
  </si>
  <si>
    <t>FR 2026Q/54</t>
  </si>
  <si>
    <t>FR 2026Q/13</t>
  </si>
  <si>
    <t>FR 2026Q/55</t>
  </si>
  <si>
    <t>FR 2026Q/56</t>
  </si>
  <si>
    <t>FR 2026Q/57</t>
  </si>
  <si>
    <t>FR 2026Q/46</t>
  </si>
  <si>
    <t>FR 2026Q/58</t>
  </si>
  <si>
    <t>FR 2026Q/59</t>
  </si>
  <si>
    <t>FR 2026Q/60</t>
  </si>
  <si>
    <t>FR 2026Q/61</t>
  </si>
  <si>
    <t>FR 2026Q/62</t>
  </si>
  <si>
    <t>FR 2026Q/63</t>
  </si>
  <si>
    <t>Elle Lesperance, OFS</t>
  </si>
  <si>
    <t>1lastsoulja@gmail.com</t>
  </si>
  <si>
    <t>P.O. Box 5124 West Hills, CA 91308 USA</t>
  </si>
  <si>
    <t xml:space="preserve">91308 California </t>
  </si>
  <si>
    <t>FR 2026Q/47</t>
  </si>
  <si>
    <t>FR 2026Q/64</t>
  </si>
  <si>
    <t>ADRIANA BEAUMONT</t>
  </si>
  <si>
    <t>10419 KANKAKEE LANE, RIVERVIEW, FL 33578</t>
  </si>
  <si>
    <t>33578 Florida</t>
  </si>
  <si>
    <t xml:space="preserve">	1-813-846-2652</t>
  </si>
  <si>
    <t>ambeaumont@yahoo.com</t>
  </si>
  <si>
    <t>FR 2026Q/65</t>
  </si>
  <si>
    <t>FR 2026Q/66</t>
  </si>
  <si>
    <t xml:space="preserve">	GUILLERMO CACERES</t>
  </si>
  <si>
    <t xml:space="preserve">	1-813-380-0151</t>
  </si>
  <si>
    <t>DEACONGUILLERMO@YAHOO.COM</t>
  </si>
  <si>
    <t>FR 2026Q/67</t>
  </si>
  <si>
    <t>FR 2026Q/68</t>
  </si>
  <si>
    <t>FR 2026Q/69</t>
  </si>
  <si>
    <t>FR 2026Q/70</t>
  </si>
  <si>
    <t>FR 2026Q/71</t>
  </si>
  <si>
    <t>FR 2026Q/72</t>
  </si>
  <si>
    <t>FR 2026Q/73</t>
  </si>
  <si>
    <t>FR 2026Q/74</t>
  </si>
  <si>
    <t>FR 2026Q/75</t>
  </si>
  <si>
    <t>FR 2026Q/76</t>
  </si>
  <si>
    <t>FR 2026Q/77</t>
  </si>
  <si>
    <t>FR 2026Q/78</t>
  </si>
  <si>
    <t>FR 2026Q/79</t>
  </si>
  <si>
    <t>FR 2026Q/80</t>
  </si>
  <si>
    <t>FR 2026Q/81</t>
  </si>
  <si>
    <t>FR 2026Q/82</t>
  </si>
  <si>
    <t>FR 2026Q/83</t>
  </si>
  <si>
    <t>Cartão de crédito - STRIPE</t>
  </si>
  <si>
    <t>FR 2026Q/84</t>
  </si>
  <si>
    <t>FR 2026Q/85</t>
  </si>
  <si>
    <t>FR 2026Q/86</t>
  </si>
  <si>
    <t>FR 2026Q/87</t>
  </si>
  <si>
    <t>FR 2026Q/88</t>
  </si>
  <si>
    <t>Rua Entrecarreiras, nº350, 2 esquerdo-frente</t>
  </si>
  <si>
    <t>4535-313</t>
  </si>
  <si>
    <t>4535-326</t>
  </si>
  <si>
    <t>Travessa Monte de cima, nº171</t>
  </si>
  <si>
    <t>Delmina Ramos</t>
  </si>
  <si>
    <t>laura_jales@hotmail.com</t>
  </si>
  <si>
    <t>delmina.ramos@gmail.com</t>
  </si>
  <si>
    <t>ceusilva@socturfeira.pt</t>
  </si>
  <si>
    <t>Maria do Céu Silva</t>
  </si>
  <si>
    <t>António Luís Gomes de Oliveira</t>
  </si>
  <si>
    <t>Fernando Joaquim Maia Gomes</t>
  </si>
  <si>
    <t>André Jales Gomes</t>
  </si>
  <si>
    <t>Rua de Matosinhos, nº 78 S. Félix da Marinha</t>
  </si>
  <si>
    <t>Rua do Casalinho, nº190, 1ºdto, Vila do Conde</t>
  </si>
  <si>
    <t>Rua Júlio Dinis, nº9, Fiães</t>
  </si>
  <si>
    <t>4410-145</t>
  </si>
  <si>
    <t>4505-356</t>
  </si>
  <si>
    <t>4480-871</t>
  </si>
  <si>
    <t>luis.barroso@digitalsketch.net</t>
  </si>
  <si>
    <t>luisatoni2011@gmail.com</t>
  </si>
  <si>
    <t>andrejales4@gmail.com</t>
  </si>
  <si>
    <t>artur.soares.sousa@gmail.com</t>
  </si>
  <si>
    <t>mfrfundao2424@gmail.com</t>
  </si>
  <si>
    <t>Lavalle 705 Carmen de Patagones. C.P. Provincia de Buenos Aires.</t>
  </si>
  <si>
    <t>4535-360</t>
  </si>
  <si>
    <t>35675-000</t>
  </si>
  <si>
    <t>4100-032</t>
  </si>
  <si>
    <t>05688-010</t>
  </si>
  <si>
    <t>maiagomes2010@hotmail.com</t>
  </si>
  <si>
    <t>ceusilva0706@gmail.com</t>
  </si>
  <si>
    <t>Não pagou</t>
  </si>
  <si>
    <t>excluído</t>
  </si>
  <si>
    <t>excluido</t>
  </si>
  <si>
    <t>FR 2026Q/89</t>
  </si>
  <si>
    <t>FR 2026Q/90</t>
  </si>
  <si>
    <t>FR 2026Q/91</t>
  </si>
  <si>
    <t>FR 2026Q/92</t>
  </si>
  <si>
    <t>HERIKA BORGES PADUA</t>
  </si>
  <si>
    <t>Rua Doutor Júlio Cardoso, 1202</t>
  </si>
  <si>
    <t>14400-730</t>
  </si>
  <si>
    <t xml:space="preserve">	hbopadua123@gmail.com</t>
  </si>
  <si>
    <t>Selma Borges Silveira de Pádua</t>
  </si>
  <si>
    <t>FR 2026Q/93</t>
  </si>
  <si>
    <t>FR 2026Q/94</t>
  </si>
  <si>
    <t>FR 2026Q/53 / 95</t>
  </si>
  <si>
    <t>FR 2026Q/96</t>
  </si>
  <si>
    <t>Eu vou pagar a quota da cristiana em 2027</t>
  </si>
  <si>
    <t>FR 2026Q/97</t>
  </si>
  <si>
    <t>FR 2026Q/98</t>
  </si>
  <si>
    <t>Edilamar Fernandes Zebral</t>
  </si>
  <si>
    <t>Rua Marechal Mascarenhas de Moraes 124 / Apto 501 - Copacabana. - Rio de Janeiro - Brasil .</t>
  </si>
  <si>
    <t>edizebral@gmail.com</t>
  </si>
  <si>
    <t>GLAUCIA NOGUEIRA DE MEDEIROS</t>
  </si>
  <si>
    <t>76 Av Mar Baltico Apto 502</t>
  </si>
  <si>
    <t>58102-031</t>
  </si>
  <si>
    <t>glaucia.nmedeiros@gmail.com</t>
  </si>
  <si>
    <t>Fernando de Resende Silva</t>
  </si>
  <si>
    <t>Rua Arara Azul, 38. Jardim Village do Cerrado</t>
  </si>
  <si>
    <t xml:space="preserve">	fer_jatai@yahoo.com.br</t>
  </si>
  <si>
    <t>FR 2026Q/99</t>
  </si>
  <si>
    <t>78731-608 Rondonópolis</t>
  </si>
  <si>
    <t>FR 2026Q/100</t>
  </si>
  <si>
    <t>FR 2026Q/101</t>
  </si>
  <si>
    <t>FR 2026Q/102</t>
  </si>
  <si>
    <t>Robert Antonio Bermudez González</t>
  </si>
  <si>
    <t>Rua do Horizonte 1166, São Romão Coronado</t>
  </si>
  <si>
    <t>4745-532</t>
  </si>
  <si>
    <t xml:space="preserve">	robertbermudez176@gmail.com</t>
  </si>
  <si>
    <t>Marlei Volpon Santos</t>
  </si>
  <si>
    <t>Rua Dr João Gomes da Rocha,835. Ap 52</t>
  </si>
  <si>
    <t xml:space="preserve">	marleivolponsantos@gmail.com</t>
  </si>
  <si>
    <t>FR 2026Q/103</t>
  </si>
  <si>
    <t>FR 2026Q/104</t>
  </si>
  <si>
    <t>FR 2026/105</t>
  </si>
  <si>
    <t>FR 2026Q/106</t>
  </si>
  <si>
    <t>CPF / NIF</t>
  </si>
  <si>
    <t>Nº de membro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</si>
</sst>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55C83"/>
      <name val="Verdana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u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/>
    <xf numFmtId="0" fontId="3" fillId="0" borderId="1" xfId="0" applyFont="1" applyBorder="1" applyAlignment="1">
      <alignment horizontal="left" vertical="center" wrapText="1" readingOrder="1"/>
    </xf>
    <xf numFmtId="0" fontId="0" fillId="0" borderId="8" xfId="0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4" borderId="3" xfId="0" applyFill="1" applyBorder="1"/>
    <xf numFmtId="0" fontId="4" fillId="0" borderId="1" xfId="1" applyFont="1" applyBorder="1"/>
    <xf numFmtId="164" fontId="0" fillId="0" borderId="9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7" xfId="0" applyBorder="1"/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64" fontId="0" fillId="0" borderId="13" xfId="0" applyNumberFormat="1" applyBorder="1"/>
    <xf numFmtId="0" fontId="0" fillId="0" borderId="13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0" xfId="0" applyBorder="1"/>
    <xf numFmtId="0" fontId="0" fillId="5" borderId="1" xfId="0" applyFill="1" applyBorder="1"/>
    <xf numFmtId="1" fontId="0" fillId="5" borderId="1" xfId="0" applyNumberFormat="1" applyFill="1" applyBorder="1" applyAlignment="1">
      <alignment horizontal="left"/>
    </xf>
    <xf numFmtId="0" fontId="2" fillId="5" borderId="1" xfId="1" applyFill="1" applyBorder="1"/>
    <xf numFmtId="164" fontId="0" fillId="5" borderId="7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16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4" borderId="20" xfId="0" applyNumberFormat="1" applyFill="1" applyBorder="1" applyAlignment="1">
      <alignment horizontal="center"/>
    </xf>
    <xf numFmtId="164" fontId="0" fillId="5" borderId="20" xfId="0" applyNumberFormat="1" applyFill="1" applyBorder="1" applyAlignment="1">
      <alignment horizontal="center"/>
    </xf>
    <xf numFmtId="164" fontId="0" fillId="3" borderId="20" xfId="0" applyNumberFormat="1" applyFill="1" applyBorder="1" applyAlignment="1">
      <alignment horizontal="center"/>
    </xf>
    <xf numFmtId="164" fontId="0" fillId="3" borderId="21" xfId="0" applyNumberFormat="1" applyFill="1" applyBorder="1" applyAlignment="1">
      <alignment horizontal="center"/>
    </xf>
    <xf numFmtId="164" fontId="0" fillId="3" borderId="19" xfId="0" applyNumberFormat="1" applyFill="1" applyBorder="1" applyAlignment="1">
      <alignment horizontal="center"/>
    </xf>
    <xf numFmtId="0" fontId="7" fillId="4" borderId="1" xfId="0" applyFont="1" applyFill="1" applyBorder="1"/>
    <xf numFmtId="0" fontId="7" fillId="0" borderId="1" xfId="0" applyFont="1" applyBorder="1"/>
    <xf numFmtId="0" fontId="4" fillId="0" borderId="1" xfId="0" applyFont="1" applyBorder="1"/>
    <xf numFmtId="0" fontId="4" fillId="4" borderId="1" xfId="0" applyFont="1" applyFill="1" applyBorder="1"/>
    <xf numFmtId="0" fontId="4" fillId="0" borderId="3" xfId="0" applyFont="1" applyBorder="1"/>
    <xf numFmtId="0" fontId="2" fillId="6" borderId="1" xfId="1" applyFill="1" applyBorder="1"/>
    <xf numFmtId="0" fontId="0" fillId="6" borderId="1" xfId="0" applyFill="1" applyBorder="1"/>
    <xf numFmtId="0" fontId="8" fillId="6" borderId="0" xfId="1" applyFont="1" applyFill="1"/>
    <xf numFmtId="0" fontId="2" fillId="6" borderId="0" xfId="1" applyFill="1"/>
    <xf numFmtId="0" fontId="0" fillId="6" borderId="3" xfId="0" applyFill="1" applyBorder="1"/>
    <xf numFmtId="0" fontId="2" fillId="6" borderId="3" xfId="1" applyFill="1" applyBorder="1"/>
    <xf numFmtId="0" fontId="2" fillId="6" borderId="1" xfId="1" applyFill="1" applyBorder="1" applyAlignment="1">
      <alignment horizontal="left" vertical="center" wrapText="1" readingOrder="1"/>
    </xf>
    <xf numFmtId="0" fontId="4" fillId="4" borderId="3" xfId="0" applyFont="1" applyFill="1" applyBorder="1"/>
    <xf numFmtId="0" fontId="9" fillId="2" borderId="4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0" borderId="3" xfId="0" applyFont="1" applyBorder="1"/>
    <xf numFmtId="0" fontId="0" fillId="0" borderId="25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4" borderId="0" xfId="0" applyFill="1" applyAlignment="1">
      <alignment horizontal="center"/>
    </xf>
    <xf numFmtId="164" fontId="2" fillId="0" borderId="1" xfId="1" applyNumberFormat="1" applyBorder="1" applyAlignment="1">
      <alignment horizontal="left"/>
    </xf>
    <xf numFmtId="0" fontId="0" fillId="3" borderId="0" xfId="0" applyFill="1" applyAlignment="1">
      <alignment horizontal="center"/>
    </xf>
    <xf numFmtId="0" fontId="0" fillId="0" borderId="26" xfId="0" applyBorder="1"/>
    <xf numFmtId="0" fontId="6" fillId="2" borderId="27" xfId="0" applyFont="1" applyFill="1" applyBorder="1" applyAlignment="1">
      <alignment horizontal="center"/>
    </xf>
    <xf numFmtId="0" fontId="0" fillId="0" borderId="9" xfId="0" applyBorder="1"/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5" borderId="7" xfId="0" applyFill="1" applyBorder="1"/>
    <xf numFmtId="0" fontId="10" fillId="0" borderId="10" xfId="0" applyFont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2" borderId="30" xfId="0" applyFont="1" applyFill="1" applyBorder="1"/>
    <xf numFmtId="164" fontId="5" fillId="2" borderId="31" xfId="0" applyNumberFormat="1" applyFont="1" applyFill="1" applyBorder="1"/>
    <xf numFmtId="164" fontId="5" fillId="2" borderId="30" xfId="0" applyNumberFormat="1" applyFont="1" applyFill="1" applyBorder="1"/>
    <xf numFmtId="0" fontId="1" fillId="2" borderId="31" xfId="0" applyFont="1" applyFill="1" applyBorder="1"/>
    <xf numFmtId="164" fontId="1" fillId="2" borderId="30" xfId="0" applyNumberFormat="1" applyFont="1" applyFill="1" applyBorder="1"/>
    <xf numFmtId="0" fontId="0" fillId="2" borderId="33" xfId="0" applyFill="1" applyBorder="1" applyAlignment="1">
      <alignment horizontal="center"/>
    </xf>
    <xf numFmtId="0" fontId="0" fillId="2" borderId="33" xfId="0" applyFill="1" applyBorder="1"/>
    <xf numFmtId="0" fontId="0" fillId="2" borderId="34" xfId="0" applyFill="1" applyBorder="1"/>
    <xf numFmtId="164" fontId="0" fillId="4" borderId="1" xfId="0" applyNumberForma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0" fillId="7" borderId="7" xfId="0" applyFill="1" applyBorder="1"/>
    <xf numFmtId="0" fontId="10" fillId="7" borderId="7" xfId="0" applyFont="1" applyFill="1" applyBorder="1" applyAlignment="1">
      <alignment horizontal="center"/>
    </xf>
    <xf numFmtId="0" fontId="12" fillId="4" borderId="1" xfId="1" applyFont="1" applyFill="1" applyBorder="1"/>
    <xf numFmtId="0" fontId="2" fillId="4" borderId="1" xfId="1" applyFill="1" applyBorder="1"/>
    <xf numFmtId="0" fontId="7" fillId="4" borderId="3" xfId="0" applyFont="1" applyFill="1" applyBorder="1"/>
    <xf numFmtId="0" fontId="2" fillId="4" borderId="3" xfId="1" applyFill="1" applyBorder="1"/>
    <xf numFmtId="0" fontId="0" fillId="4" borderId="24" xfId="0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0" borderId="1" xfId="1" applyBorder="1"/>
    <xf numFmtId="0" fontId="2" fillId="0" borderId="8" xfId="1" applyBorder="1"/>
    <xf numFmtId="164" fontId="0" fillId="4" borderId="3" xfId="0" applyNumberFormat="1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6" fillId="2" borderId="30" xfId="0" applyNumberFormat="1" applyFon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31" xfId="0" applyFill="1" applyBorder="1"/>
    <xf numFmtId="0" fontId="10" fillId="4" borderId="3" xfId="0" applyFont="1" applyFill="1" applyBorder="1" applyAlignment="1">
      <alignment horizontal="center"/>
    </xf>
    <xf numFmtId="3" fontId="12" fillId="0" borderId="1" xfId="1" applyNumberFormat="1" applyFont="1" applyBorder="1" applyAlignment="1">
      <alignment horizontal="center"/>
    </xf>
    <xf numFmtId="0" fontId="0" fillId="0" borderId="14" xfId="0" applyBorder="1"/>
    <xf numFmtId="0" fontId="1" fillId="10" borderId="4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0" fillId="0" borderId="24" xfId="0" applyBorder="1"/>
    <xf numFmtId="3" fontId="12" fillId="0" borderId="3" xfId="1" applyNumberFormat="1" applyFont="1" applyBorder="1" applyAlignment="1">
      <alignment horizontal="center"/>
    </xf>
    <xf numFmtId="0" fontId="0" fillId="0" borderId="33" xfId="0" applyBorder="1"/>
    <xf numFmtId="0" fontId="0" fillId="0" borderId="36" xfId="0" applyBorder="1"/>
    <xf numFmtId="0" fontId="0" fillId="0" borderId="34" xfId="0" applyBorder="1"/>
    <xf numFmtId="0" fontId="0" fillId="2" borderId="37" xfId="0" applyFill="1" applyBorder="1"/>
    <xf numFmtId="164" fontId="0" fillId="5" borderId="21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0" fillId="8" borderId="1" xfId="0" applyFill="1" applyBorder="1"/>
    <xf numFmtId="0" fontId="0" fillId="8" borderId="3" xfId="0" applyFill="1" applyBorder="1"/>
    <xf numFmtId="0" fontId="12" fillId="8" borderId="1" xfId="1" applyFont="1" applyFill="1" applyBorder="1"/>
    <xf numFmtId="0" fontId="0" fillId="4" borderId="26" xfId="0" applyFill="1" applyBorder="1"/>
    <xf numFmtId="0" fontId="14" fillId="0" borderId="0" xfId="0" applyFont="1"/>
    <xf numFmtId="0" fontId="14" fillId="0" borderId="1" xfId="0" applyFont="1" applyBorder="1" applyAlignment="1">
      <alignment vertical="center"/>
    </xf>
    <xf numFmtId="0" fontId="4" fillId="0" borderId="1" xfId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left"/>
    </xf>
    <xf numFmtId="0" fontId="15" fillId="6" borderId="1" xfId="1" applyFont="1" applyFill="1" applyBorder="1"/>
    <xf numFmtId="164" fontId="7" fillId="4" borderId="7" xfId="0" applyNumberFormat="1" applyFont="1" applyFill="1" applyBorder="1" applyAlignment="1">
      <alignment horizontal="center"/>
    </xf>
    <xf numFmtId="164" fontId="7" fillId="4" borderId="13" xfId="0" applyNumberFormat="1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164" fontId="7" fillId="4" borderId="20" xfId="0" applyNumberFormat="1" applyFont="1" applyFill="1" applyBorder="1" applyAlignment="1">
      <alignment horizontal="center"/>
    </xf>
    <xf numFmtId="164" fontId="7" fillId="5" borderId="7" xfId="0" applyNumberFormat="1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0" fillId="4" borderId="7" xfId="0" applyFill="1" applyBorder="1"/>
    <xf numFmtId="164" fontId="0" fillId="0" borderId="38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3" borderId="41" xfId="0" applyNumberFormat="1" applyFill="1" applyBorder="1" applyAlignment="1">
      <alignment horizontal="center"/>
    </xf>
    <xf numFmtId="164" fontId="0" fillId="7" borderId="41" xfId="0" applyNumberFormat="1" applyFill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5" borderId="41" xfId="0" applyNumberFormat="1" applyFill="1" applyBorder="1" applyAlignment="1">
      <alignment horizontal="center"/>
    </xf>
    <xf numFmtId="164" fontId="0" fillId="3" borderId="42" xfId="0" applyNumberFormat="1" applyFill="1" applyBorder="1" applyAlignment="1">
      <alignment horizontal="center"/>
    </xf>
    <xf numFmtId="164" fontId="0" fillId="3" borderId="43" xfId="0" applyNumberForma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9" xfId="0" applyBorder="1"/>
    <xf numFmtId="0" fontId="0" fillId="5" borderId="39" xfId="0" applyFill="1" applyBorder="1"/>
    <xf numFmtId="164" fontId="0" fillId="0" borderId="44" xfId="0" applyNumberFormat="1" applyBorder="1" applyAlignment="1">
      <alignment horizontal="center"/>
    </xf>
    <xf numFmtId="0" fontId="10" fillId="2" borderId="41" xfId="0" applyFont="1" applyFill="1" applyBorder="1" applyAlignment="1">
      <alignment horizontal="center"/>
    </xf>
    <xf numFmtId="0" fontId="0" fillId="0" borderId="41" xfId="0" applyBorder="1"/>
    <xf numFmtId="0" fontId="0" fillId="2" borderId="41" xfId="0" applyFill="1" applyBorder="1"/>
    <xf numFmtId="0" fontId="0" fillId="0" borderId="41" xfId="0" applyBorder="1" applyAlignment="1">
      <alignment horizontal="center"/>
    </xf>
    <xf numFmtId="0" fontId="0" fillId="5" borderId="41" xfId="0" applyFill="1" applyBorder="1"/>
    <xf numFmtId="0" fontId="0" fillId="2" borderId="42" xfId="0" applyFill="1" applyBorder="1"/>
    <xf numFmtId="0" fontId="10" fillId="2" borderId="42" xfId="0" applyFont="1" applyFill="1" applyBorder="1" applyAlignment="1">
      <alignment horizontal="center"/>
    </xf>
    <xf numFmtId="0" fontId="0" fillId="2" borderId="30" xfId="0" applyFill="1" applyBorder="1"/>
    <xf numFmtId="164" fontId="9" fillId="2" borderId="30" xfId="0" applyNumberFormat="1" applyFont="1" applyFill="1" applyBorder="1" applyAlignment="1">
      <alignment horizontal="center"/>
    </xf>
    <xf numFmtId="0" fontId="0" fillId="2" borderId="4" xfId="0" applyFill="1" applyBorder="1"/>
    <xf numFmtId="0" fontId="2" fillId="0" borderId="3" xfId="1" applyBorder="1"/>
    <xf numFmtId="0" fontId="1" fillId="9" borderId="28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/>
    </xf>
    <xf numFmtId="164" fontId="0" fillId="0" borderId="48" xfId="0" applyNumberFormat="1" applyBorder="1" applyAlignment="1">
      <alignment horizontal="center"/>
    </xf>
    <xf numFmtId="0" fontId="10" fillId="2" borderId="49" xfId="0" applyFont="1" applyFill="1" applyBorder="1" applyAlignment="1">
      <alignment horizontal="center"/>
    </xf>
    <xf numFmtId="164" fontId="0" fillId="3" borderId="49" xfId="0" applyNumberFormat="1" applyFill="1" applyBorder="1" applyAlignment="1">
      <alignment horizontal="center"/>
    </xf>
    <xf numFmtId="164" fontId="0" fillId="3" borderId="30" xfId="0" applyNumberFormat="1" applyFill="1" applyBorder="1" applyAlignment="1">
      <alignment horizontal="center"/>
    </xf>
    <xf numFmtId="0" fontId="1" fillId="0" borderId="1" xfId="0" applyFont="1" applyBorder="1" applyAlignment="1">
      <alignment vertical="top" wrapText="1"/>
    </xf>
    <xf numFmtId="0" fontId="0" fillId="2" borderId="32" xfId="0" applyFill="1" applyBorder="1"/>
    <xf numFmtId="0" fontId="0" fillId="2" borderId="17" xfId="0" applyFill="1" applyBorder="1"/>
    <xf numFmtId="0" fontId="0" fillId="2" borderId="50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51" xfId="0" applyFill="1" applyBorder="1"/>
    <xf numFmtId="0" fontId="1" fillId="10" borderId="52" xfId="0" applyFont="1" applyFill="1" applyBorder="1" applyAlignment="1">
      <alignment horizontal="center"/>
    </xf>
    <xf numFmtId="0" fontId="1" fillId="10" borderId="53" xfId="0" applyFont="1" applyFill="1" applyBorder="1" applyAlignment="1">
      <alignment horizontal="center"/>
    </xf>
    <xf numFmtId="0" fontId="0" fillId="0" borderId="13" xfId="0" applyBorder="1"/>
    <xf numFmtId="0" fontId="10" fillId="2" borderId="14" xfId="0" applyFont="1" applyFill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0" fontId="0" fillId="0" borderId="23" xfId="0" applyBorder="1"/>
    <xf numFmtId="0" fontId="0" fillId="0" borderId="47" xfId="0" applyBorder="1"/>
    <xf numFmtId="0" fontId="0" fillId="0" borderId="54" xfId="0" applyBorder="1"/>
    <xf numFmtId="0" fontId="0" fillId="0" borderId="55" xfId="0" applyBorder="1"/>
    <xf numFmtId="0" fontId="1" fillId="2" borderId="2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32" xfId="0" applyFont="1" applyFill="1" applyBorder="1"/>
    <xf numFmtId="0" fontId="0" fillId="0" borderId="31" xfId="0" applyBorder="1"/>
    <xf numFmtId="0" fontId="10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i António Martins Lopes Novo da Costa" id="{CE13B429-C11E-4496-A7FF-9F2D03BAC26F}" userId="S::for158195@formacao.iefp.pt::479461a0-e621-44b8-9111-a91619e0450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4" dT="2024-07-10T13:12:06.14" personId="{CE13B429-C11E-4496-A7FF-9F2D03BAC26F}" id="{4594F9EE-A7BD-44B2-AD1F-243922A32103}">
    <text>Ficou de dar em dinheiro</text>
  </threadedComment>
  <threadedComment ref="L32" dT="2024-09-12T11:12:00.39" personId="{CE13B429-C11E-4496-A7FF-9F2D03BAC26F}" id="{81A1C8AB-55E6-4DEC-A76E-6D0596855204}">
    <text>Foi aceite que não fizesse pagamento este ano.</text>
  </threadedComment>
  <threadedComment ref="O76" dT="2025-01-28T10:06:44.83" personId="{CE13B429-C11E-4496-A7FF-9F2D03BAC26F}" id="{FB6E6A1C-F3AE-4D6D-93DE-307B30665684}">
    <text>Pagou duas vezes em 2025</text>
  </threadedComment>
  <threadedComment ref="B87" dT="2025-07-24T17:30:03.80" personId="{CE13B429-C11E-4496-A7FF-9F2D03BAC26F}" id="{DBD7BB0D-6328-40CC-9559-0FE38DC957B0}">
    <text>Não tem whatsapp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4" dT="2024-07-10T13:12:06.14" personId="{CE13B429-C11E-4496-A7FF-9F2D03BAC26F}" id="{84F0D8EA-E574-4C8F-9034-8E71B1BA153E}">
    <text>Ficou de dar em dinheiro</text>
  </threadedComment>
  <threadedComment ref="L31" dT="2024-09-12T11:12:00.39" personId="{CE13B429-C11E-4496-A7FF-9F2D03BAC26F}" id="{C430EBC9-E88A-46F9-BC4B-C1910E58E46D}">
    <text>Foi aceite que não fizesse pagamento este ano.</text>
  </threadedComment>
  <threadedComment ref="N72" dT="2025-01-28T10:06:44.83" personId="{CE13B429-C11E-4496-A7FF-9F2D03BAC26F}" id="{7A530B92-523D-4453-A9AD-37FCFCB19F7C}">
    <text>Pagou duas vezes em 2025</text>
  </threadedComment>
  <threadedComment ref="C83" dT="2025-07-24T17:30:03.80" personId="{CE13B429-C11E-4496-A7FF-9F2D03BAC26F}" id="{FD6310EE-C738-490E-8D25-84730D6F622E}">
    <text>Não tem whatsapp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eginarib@terra.com.br" TargetMode="External"/><Relationship Id="rId18" Type="http://schemas.openxmlformats.org/officeDocument/2006/relationships/hyperlink" Target="mailto:cristianamspereira@hotmail.com" TargetMode="External"/><Relationship Id="rId26" Type="http://schemas.openxmlformats.org/officeDocument/2006/relationships/hyperlink" Target="mailto:nunezcampos@hotmail.com" TargetMode="External"/><Relationship Id="rId39" Type="http://schemas.openxmlformats.org/officeDocument/2006/relationships/hyperlink" Target="mailto:andreaoliveiraarquiteta@gmail.com" TargetMode="External"/><Relationship Id="rId21" Type="http://schemas.openxmlformats.org/officeDocument/2006/relationships/hyperlink" Target="mailto:rosamandala@live.com.pt" TargetMode="External"/><Relationship Id="rId34" Type="http://schemas.openxmlformats.org/officeDocument/2006/relationships/hyperlink" Target="mailto:hercyalencar@hotmail.com" TargetMode="External"/><Relationship Id="rId42" Type="http://schemas.openxmlformats.org/officeDocument/2006/relationships/hyperlink" Target="mailto:OurLadiesOfGarabandal@yahoo.com" TargetMode="External"/><Relationship Id="rId47" Type="http://schemas.openxmlformats.org/officeDocument/2006/relationships/hyperlink" Target="mailto:marcoaraujo71@gmail.com" TargetMode="External"/><Relationship Id="rId50" Type="http://schemas.openxmlformats.org/officeDocument/2006/relationships/hyperlink" Target="mailto:karolina.vyvyan35@gmail.com" TargetMode="External"/><Relationship Id="rId55" Type="http://schemas.openxmlformats.org/officeDocument/2006/relationships/hyperlink" Target="mailto:Valeriacbcastro@gmail.com" TargetMode="External"/><Relationship Id="rId7" Type="http://schemas.openxmlformats.org/officeDocument/2006/relationships/hyperlink" Target="mailto:paulosouza.eng@gmail.com" TargetMode="External"/><Relationship Id="rId2" Type="http://schemas.openxmlformats.org/officeDocument/2006/relationships/hyperlink" Target="mailto:sta.faustina.er@gmail.com" TargetMode="External"/><Relationship Id="rId16" Type="http://schemas.openxmlformats.org/officeDocument/2006/relationships/hyperlink" Target="mailto:belmirapulicano@hotmail.com" TargetMode="External"/><Relationship Id="rId29" Type="http://schemas.openxmlformats.org/officeDocument/2006/relationships/hyperlink" Target="mailto:vivian.vcgl@gmail.com" TargetMode="External"/><Relationship Id="rId11" Type="http://schemas.openxmlformats.org/officeDocument/2006/relationships/hyperlink" Target="mailto:do.joao.ribeiro@gmail.com" TargetMode="External"/><Relationship Id="rId24" Type="http://schemas.openxmlformats.org/officeDocument/2006/relationships/hyperlink" Target="mailto:nilsypsy@hotmail.com" TargetMode="External"/><Relationship Id="rId32" Type="http://schemas.openxmlformats.org/officeDocument/2006/relationships/hyperlink" Target="https://dashboard.stripe.com/guests/gcus_1Ps5QcGyU3vzDUuTKn89rPBw" TargetMode="External"/><Relationship Id="rId37" Type="http://schemas.openxmlformats.org/officeDocument/2006/relationships/hyperlink" Target="mailto:sesaroint@gmail.com" TargetMode="External"/><Relationship Id="rId40" Type="http://schemas.openxmlformats.org/officeDocument/2006/relationships/hyperlink" Target="mailto:psilvestre7@gmail.com" TargetMode="External"/><Relationship Id="rId45" Type="http://schemas.openxmlformats.org/officeDocument/2006/relationships/hyperlink" Target="mailto:franciscoempessoa@gmail.com" TargetMode="External"/><Relationship Id="rId53" Type="http://schemas.openxmlformats.org/officeDocument/2006/relationships/hyperlink" Target="mailto:fatimacmendes55@gmail.com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myvymy@yahoo.com" TargetMode="External"/><Relationship Id="rId61" Type="http://schemas.microsoft.com/office/2017/10/relationships/threadedComment" Target="../threadedComments/threadedComment1.xml"/><Relationship Id="rId19" Type="http://schemas.openxmlformats.org/officeDocument/2006/relationships/hyperlink" Target="mailto:analllessa@yahoo.com.br" TargetMode="External"/><Relationship Id="rId14" Type="http://schemas.openxmlformats.org/officeDocument/2006/relationships/hyperlink" Target="mailto:mardjacioffi@gmail.com" TargetMode="External"/><Relationship Id="rId22" Type="http://schemas.openxmlformats.org/officeDocument/2006/relationships/hyperlink" Target="mailto:marlucia@asianbrax.com.br" TargetMode="External"/><Relationship Id="rId27" Type="http://schemas.openxmlformats.org/officeDocument/2006/relationships/hyperlink" Target="mailto:gylmaradeapereira@gmail.com" TargetMode="External"/><Relationship Id="rId30" Type="http://schemas.openxmlformats.org/officeDocument/2006/relationships/hyperlink" Target="mailto:reallupini@hotmail.com" TargetMode="External"/><Relationship Id="rId35" Type="http://schemas.openxmlformats.org/officeDocument/2006/relationships/hyperlink" Target="mailto:fernandabragadesousa@hotmail.com" TargetMode="External"/><Relationship Id="rId43" Type="http://schemas.openxmlformats.org/officeDocument/2006/relationships/hyperlink" Target="mailto:anasmendonca5@gmail.com" TargetMode="External"/><Relationship Id="rId48" Type="http://schemas.openxmlformats.org/officeDocument/2006/relationships/hyperlink" Target="mailto:virgilioroque@gmail.com" TargetMode="External"/><Relationship Id="rId56" Type="http://schemas.openxmlformats.org/officeDocument/2006/relationships/hyperlink" Target="mailto:mariaanaalmada64@gmail.com" TargetMode="External"/><Relationship Id="rId8" Type="http://schemas.openxmlformats.org/officeDocument/2006/relationships/hyperlink" Target="mailto:isabel.malheiro79@gmail.com" TargetMode="External"/><Relationship Id="rId51" Type="http://schemas.openxmlformats.org/officeDocument/2006/relationships/hyperlink" Target="mailto:caty.mcosta@gmail.com" TargetMode="External"/><Relationship Id="rId3" Type="http://schemas.openxmlformats.org/officeDocument/2006/relationships/hyperlink" Target="mailto:mariarozsa479@gmail.com" TargetMode="External"/><Relationship Id="rId12" Type="http://schemas.openxmlformats.org/officeDocument/2006/relationships/hyperlink" Target="mailto:danispagethi@hotmail.com" TargetMode="External"/><Relationship Id="rId17" Type="http://schemas.openxmlformats.org/officeDocument/2006/relationships/hyperlink" Target="mailto:mcbizarisilva@outlook.com.br" TargetMode="External"/><Relationship Id="rId25" Type="http://schemas.openxmlformats.org/officeDocument/2006/relationships/hyperlink" Target="mailto:paulivo2914@gmail.com" TargetMode="External"/><Relationship Id="rId33" Type="http://schemas.openxmlformats.org/officeDocument/2006/relationships/hyperlink" Target="mailto:suzana.acc.mendes@gmail.com" TargetMode="External"/><Relationship Id="rId38" Type="http://schemas.openxmlformats.org/officeDocument/2006/relationships/hyperlink" Target="mailto:olimpiamplsantos@gmail.com" TargetMode="External"/><Relationship Id="rId46" Type="http://schemas.openxmlformats.org/officeDocument/2006/relationships/hyperlink" Target="mailto:ceugualdino@hotmail.com" TargetMode="External"/><Relationship Id="rId59" Type="http://schemas.openxmlformats.org/officeDocument/2006/relationships/vmlDrawing" Target="../drawings/vmlDrawing1.vml"/><Relationship Id="rId20" Type="http://schemas.openxmlformats.org/officeDocument/2006/relationships/hyperlink" Target="mailto:mekatista@gmail.com" TargetMode="External"/><Relationship Id="rId41" Type="http://schemas.openxmlformats.org/officeDocument/2006/relationships/hyperlink" Target="mailto:seguros.mlopes@icloud.com" TargetMode="External"/><Relationship Id="rId54" Type="http://schemas.openxmlformats.org/officeDocument/2006/relationships/hyperlink" Target="mailto:anasophiaaguiar@gmail.com" TargetMode="External"/><Relationship Id="rId1" Type="http://schemas.openxmlformats.org/officeDocument/2006/relationships/hyperlink" Target="mailto:padreandreviana@gmail.com" TargetMode="External"/><Relationship Id="rId6" Type="http://schemas.openxmlformats.org/officeDocument/2006/relationships/hyperlink" Target="mailto:elainehff@gmail.com" TargetMode="External"/><Relationship Id="rId15" Type="http://schemas.openxmlformats.org/officeDocument/2006/relationships/hyperlink" Target="mailto:lpopolizio@bol.com.br" TargetMode="External"/><Relationship Id="rId23" Type="http://schemas.openxmlformats.org/officeDocument/2006/relationships/hyperlink" Target="mailto:fabiana.simonassi@hotmail.com" TargetMode="External"/><Relationship Id="rId28" Type="http://schemas.openxmlformats.org/officeDocument/2006/relationships/hyperlink" Target="mailto:mazzeorama@hotmail.com.ar" TargetMode="External"/><Relationship Id="rId36" Type="http://schemas.openxmlformats.org/officeDocument/2006/relationships/hyperlink" Target="mailto:saints33@startmail.com" TargetMode="External"/><Relationship Id="rId49" Type="http://schemas.openxmlformats.org/officeDocument/2006/relationships/hyperlink" Target="mailto:clara.queridobonito@gmail.com" TargetMode="External"/><Relationship Id="rId57" Type="http://schemas.openxmlformats.org/officeDocument/2006/relationships/hyperlink" Target="mailto:anabela_pardal@hotmail.com" TargetMode="External"/><Relationship Id="rId10" Type="http://schemas.openxmlformats.org/officeDocument/2006/relationships/hyperlink" Target="mailto:lucassantos2014616@gmail.com" TargetMode="External"/><Relationship Id="rId31" Type="http://schemas.openxmlformats.org/officeDocument/2006/relationships/hyperlink" Target="mailto:patricia_tfns@hotmail.com" TargetMode="External"/><Relationship Id="rId44" Type="http://schemas.openxmlformats.org/officeDocument/2006/relationships/hyperlink" Target="mailto:nelza.azlen@gmail.com" TargetMode="External"/><Relationship Id="rId52" Type="http://schemas.openxmlformats.org/officeDocument/2006/relationships/hyperlink" Target="mailto:julianagraciosa@gmail.com" TargetMode="External"/><Relationship Id="rId60" Type="http://schemas.openxmlformats.org/officeDocument/2006/relationships/comments" Target="../comments1.xml"/><Relationship Id="rId4" Type="http://schemas.openxmlformats.org/officeDocument/2006/relationships/hyperlink" Target="mailto:ceu_almeida@live.com.pt" TargetMode="External"/><Relationship Id="rId9" Type="http://schemas.openxmlformats.org/officeDocument/2006/relationships/hyperlink" Target="mailto:secundino.costa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patricia_tfns@hotmail.com" TargetMode="External"/><Relationship Id="rId21" Type="http://schemas.openxmlformats.org/officeDocument/2006/relationships/hyperlink" Target="mailto:paulivo2914@gmail.com" TargetMode="External"/><Relationship Id="rId42" Type="http://schemas.openxmlformats.org/officeDocument/2006/relationships/hyperlink" Target="mailto:clara.queridobonito@gmail.com" TargetMode="External"/><Relationship Id="rId47" Type="http://schemas.openxmlformats.org/officeDocument/2006/relationships/hyperlink" Target="mailto:anasophiaaguiar@gmail.com" TargetMode="External"/><Relationship Id="rId63" Type="http://schemas.openxmlformats.org/officeDocument/2006/relationships/hyperlink" Target="mailto:cleodneves@gmail.com" TargetMode="External"/><Relationship Id="rId68" Type="http://schemas.openxmlformats.org/officeDocument/2006/relationships/hyperlink" Target="mailto:marciaaw@terra.com.br" TargetMode="External"/><Relationship Id="rId84" Type="http://schemas.openxmlformats.org/officeDocument/2006/relationships/hyperlink" Target="mailto:luisatoni2011@gmail.com" TargetMode="External"/><Relationship Id="rId89" Type="http://schemas.openxmlformats.org/officeDocument/2006/relationships/hyperlink" Target="mailto:maiagomes2010@hotmail.com" TargetMode="External"/><Relationship Id="rId16" Type="http://schemas.openxmlformats.org/officeDocument/2006/relationships/hyperlink" Target="mailto:mekatista@gmail.com" TargetMode="External"/><Relationship Id="rId11" Type="http://schemas.openxmlformats.org/officeDocument/2006/relationships/hyperlink" Target="mailto:mardjacioffi@gmail.com" TargetMode="External"/><Relationship Id="rId32" Type="http://schemas.openxmlformats.org/officeDocument/2006/relationships/hyperlink" Target="mailto:olimpiamplsantos@gmail.com" TargetMode="External"/><Relationship Id="rId37" Type="http://schemas.openxmlformats.org/officeDocument/2006/relationships/hyperlink" Target="mailto:nelza.azlen@gmail.com" TargetMode="External"/><Relationship Id="rId53" Type="http://schemas.openxmlformats.org/officeDocument/2006/relationships/hyperlink" Target="mailto:ruinovocosta@outlook.com" TargetMode="External"/><Relationship Id="rId58" Type="http://schemas.openxmlformats.org/officeDocument/2006/relationships/hyperlink" Target="mailto:petroli.isidoro@gmail.com" TargetMode="External"/><Relationship Id="rId74" Type="http://schemas.openxmlformats.org/officeDocument/2006/relationships/hyperlink" Target="mailto:ycamarinha@gmail.com" TargetMode="External"/><Relationship Id="rId79" Type="http://schemas.openxmlformats.org/officeDocument/2006/relationships/hyperlink" Target="mailto:ambeaumont@yahoo.com" TargetMode="External"/><Relationship Id="rId5" Type="http://schemas.openxmlformats.org/officeDocument/2006/relationships/hyperlink" Target="mailto:paulosouza.eng@gmail.com" TargetMode="External"/><Relationship Id="rId90" Type="http://schemas.openxmlformats.org/officeDocument/2006/relationships/hyperlink" Target="mailto:ceusilva0706@gmail.com" TargetMode="External"/><Relationship Id="rId95" Type="http://schemas.openxmlformats.org/officeDocument/2006/relationships/hyperlink" Target="mailto:OurLadiesOfGarabandal@yahoo.com" TargetMode="External"/><Relationship Id="rId22" Type="http://schemas.openxmlformats.org/officeDocument/2006/relationships/hyperlink" Target="mailto:nunezcampos@hotmail.com" TargetMode="External"/><Relationship Id="rId27" Type="http://schemas.openxmlformats.org/officeDocument/2006/relationships/hyperlink" Target="https://dashboard.stripe.com/guests/gcus_1Ps5QcGyU3vzDUuTKn89rPBw" TargetMode="External"/><Relationship Id="rId43" Type="http://schemas.openxmlformats.org/officeDocument/2006/relationships/hyperlink" Target="mailto:karolina.vyvyan35@gmail.com" TargetMode="External"/><Relationship Id="rId48" Type="http://schemas.openxmlformats.org/officeDocument/2006/relationships/hyperlink" Target="mailto:Valeriacbcastro@gmail.com" TargetMode="External"/><Relationship Id="rId64" Type="http://schemas.openxmlformats.org/officeDocument/2006/relationships/hyperlink" Target="mailto:lelia.marinho@hotmail.com" TargetMode="External"/><Relationship Id="rId69" Type="http://schemas.openxmlformats.org/officeDocument/2006/relationships/hyperlink" Target="mailto:mariluci_andrade@hotmail.com" TargetMode="External"/><Relationship Id="rId80" Type="http://schemas.openxmlformats.org/officeDocument/2006/relationships/hyperlink" Target="mailto:DEACONGUILLERMO@YAHOO.COM" TargetMode="External"/><Relationship Id="rId85" Type="http://schemas.openxmlformats.org/officeDocument/2006/relationships/hyperlink" Target="mailto:luis.barroso@digitalsketch.net" TargetMode="External"/><Relationship Id="rId3" Type="http://schemas.openxmlformats.org/officeDocument/2006/relationships/hyperlink" Target="mailto:ceu_almeida@live.com.pt" TargetMode="External"/><Relationship Id="rId12" Type="http://schemas.openxmlformats.org/officeDocument/2006/relationships/hyperlink" Target="mailto:lpopolizio@bol.com.br" TargetMode="External"/><Relationship Id="rId17" Type="http://schemas.openxmlformats.org/officeDocument/2006/relationships/hyperlink" Target="mailto:rosamandala@live.com.pt" TargetMode="External"/><Relationship Id="rId25" Type="http://schemas.openxmlformats.org/officeDocument/2006/relationships/hyperlink" Target="mailto:reallupini@hotmail.com" TargetMode="External"/><Relationship Id="rId33" Type="http://schemas.openxmlformats.org/officeDocument/2006/relationships/hyperlink" Target="mailto:andreaoliveiraarquiteta@gmail.com" TargetMode="External"/><Relationship Id="rId38" Type="http://schemas.openxmlformats.org/officeDocument/2006/relationships/hyperlink" Target="mailto:franciscoempessoa@gmail.com" TargetMode="External"/><Relationship Id="rId46" Type="http://schemas.openxmlformats.org/officeDocument/2006/relationships/hyperlink" Target="mailto:fatimacmendes55@gmail.com" TargetMode="External"/><Relationship Id="rId59" Type="http://schemas.openxmlformats.org/officeDocument/2006/relationships/hyperlink" Target="mailto:paula.pinheiro@ulsleziria.min-saude.pt" TargetMode="External"/><Relationship Id="rId67" Type="http://schemas.openxmlformats.org/officeDocument/2006/relationships/hyperlink" Target="mailto:mjluca17@gmail.com" TargetMode="External"/><Relationship Id="rId20" Type="http://schemas.openxmlformats.org/officeDocument/2006/relationships/hyperlink" Target="mailto:nilsypsy@hotmail.com" TargetMode="External"/><Relationship Id="rId41" Type="http://schemas.openxmlformats.org/officeDocument/2006/relationships/hyperlink" Target="mailto:virgilioroque@gmail.com" TargetMode="External"/><Relationship Id="rId54" Type="http://schemas.openxmlformats.org/officeDocument/2006/relationships/hyperlink" Target="mailto:perodrigodf@gmail.com" TargetMode="External"/><Relationship Id="rId62" Type="http://schemas.openxmlformats.org/officeDocument/2006/relationships/hyperlink" Target="mailto:elalelis19@gmail.com" TargetMode="External"/><Relationship Id="rId70" Type="http://schemas.openxmlformats.org/officeDocument/2006/relationships/hyperlink" Target="mailto:carlosgilven@gmail.com" TargetMode="External"/><Relationship Id="rId75" Type="http://schemas.openxmlformats.org/officeDocument/2006/relationships/hyperlink" Target="mailto:elieteluziavictor2@gmail.com" TargetMode="External"/><Relationship Id="rId83" Type="http://schemas.openxmlformats.org/officeDocument/2006/relationships/hyperlink" Target="mailto:ceusilva@socturfeira.pt" TargetMode="External"/><Relationship Id="rId88" Type="http://schemas.openxmlformats.org/officeDocument/2006/relationships/hyperlink" Target="mailto:mfrfundao2424@gmail.com" TargetMode="External"/><Relationship Id="rId91" Type="http://schemas.openxmlformats.org/officeDocument/2006/relationships/hyperlink" Target="mailto:elainehff@gmail.com" TargetMode="External"/><Relationship Id="rId96" Type="http://schemas.openxmlformats.org/officeDocument/2006/relationships/hyperlink" Target="mailto:edizebral@gmail.com" TargetMode="External"/><Relationship Id="rId1" Type="http://schemas.openxmlformats.org/officeDocument/2006/relationships/hyperlink" Target="mailto:padreandreviana@gmail.com" TargetMode="External"/><Relationship Id="rId6" Type="http://schemas.openxmlformats.org/officeDocument/2006/relationships/hyperlink" Target="mailto:isabel.malheiro79@gmail.com" TargetMode="External"/><Relationship Id="rId15" Type="http://schemas.openxmlformats.org/officeDocument/2006/relationships/hyperlink" Target="mailto:analllessa@yahoo.com.br" TargetMode="External"/><Relationship Id="rId23" Type="http://schemas.openxmlformats.org/officeDocument/2006/relationships/hyperlink" Target="mailto:gylmaradeapereira@gmail.com" TargetMode="External"/><Relationship Id="rId28" Type="http://schemas.openxmlformats.org/officeDocument/2006/relationships/hyperlink" Target="mailto:suzana.acc.mendes@gmail.com" TargetMode="External"/><Relationship Id="rId36" Type="http://schemas.openxmlformats.org/officeDocument/2006/relationships/hyperlink" Target="mailto:anasmendonca5@gmail.com" TargetMode="External"/><Relationship Id="rId49" Type="http://schemas.openxmlformats.org/officeDocument/2006/relationships/hyperlink" Target="mailto:mariaanaalmada64@gmail.com" TargetMode="External"/><Relationship Id="rId57" Type="http://schemas.openxmlformats.org/officeDocument/2006/relationships/hyperlink" Target="mailto:paulorangelibbis@gmail.com" TargetMode="External"/><Relationship Id="rId10" Type="http://schemas.openxmlformats.org/officeDocument/2006/relationships/hyperlink" Target="mailto:reginarib@terra.com.br" TargetMode="External"/><Relationship Id="rId31" Type="http://schemas.openxmlformats.org/officeDocument/2006/relationships/hyperlink" Target="mailto:sesaroint@gmail.com" TargetMode="External"/><Relationship Id="rId44" Type="http://schemas.openxmlformats.org/officeDocument/2006/relationships/hyperlink" Target="mailto:caty.mcosta@gmail.com" TargetMode="External"/><Relationship Id="rId52" Type="http://schemas.openxmlformats.org/officeDocument/2006/relationships/hyperlink" Target="mailto:cristinamargarida@hotmail.com" TargetMode="External"/><Relationship Id="rId60" Type="http://schemas.openxmlformats.org/officeDocument/2006/relationships/hyperlink" Target="mailto:izabel.borges.rodrigues@gmail.com" TargetMode="External"/><Relationship Id="rId65" Type="http://schemas.openxmlformats.org/officeDocument/2006/relationships/hyperlink" Target="mailto:maysamacordeiro@gmail.com" TargetMode="External"/><Relationship Id="rId73" Type="http://schemas.openxmlformats.org/officeDocument/2006/relationships/hyperlink" Target="mailto:pazulacademia5946@gmail.com" TargetMode="External"/><Relationship Id="rId78" Type="http://schemas.openxmlformats.org/officeDocument/2006/relationships/hyperlink" Target="mailto:1lastsoulja@gmail.com" TargetMode="External"/><Relationship Id="rId81" Type="http://schemas.openxmlformats.org/officeDocument/2006/relationships/hyperlink" Target="mailto:laura_jales@hotmail.com" TargetMode="External"/><Relationship Id="rId86" Type="http://schemas.openxmlformats.org/officeDocument/2006/relationships/hyperlink" Target="mailto:andrejales4@gmail.com" TargetMode="External"/><Relationship Id="rId94" Type="http://schemas.openxmlformats.org/officeDocument/2006/relationships/hyperlink" Target="mailto:fernandabragadesousa@hotmail.com" TargetMode="External"/><Relationship Id="rId99" Type="http://schemas.openxmlformats.org/officeDocument/2006/relationships/comments" Target="../comments2.xml"/><Relationship Id="rId4" Type="http://schemas.openxmlformats.org/officeDocument/2006/relationships/hyperlink" Target="mailto:myvymy@yahoo.com" TargetMode="External"/><Relationship Id="rId9" Type="http://schemas.openxmlformats.org/officeDocument/2006/relationships/hyperlink" Target="mailto:danispagethi@hotmail.com" TargetMode="External"/><Relationship Id="rId13" Type="http://schemas.openxmlformats.org/officeDocument/2006/relationships/hyperlink" Target="mailto:belmirapulicano@hotmail.com" TargetMode="External"/><Relationship Id="rId18" Type="http://schemas.openxmlformats.org/officeDocument/2006/relationships/hyperlink" Target="mailto:marlucia@asianbrax.com.br" TargetMode="External"/><Relationship Id="rId39" Type="http://schemas.openxmlformats.org/officeDocument/2006/relationships/hyperlink" Target="mailto:ceugualdino@hotmail.com" TargetMode="External"/><Relationship Id="rId34" Type="http://schemas.openxmlformats.org/officeDocument/2006/relationships/hyperlink" Target="mailto:psilvestre7@gmail.com" TargetMode="External"/><Relationship Id="rId50" Type="http://schemas.openxmlformats.org/officeDocument/2006/relationships/hyperlink" Target="mailto:anabela_pardal@hotmail.com" TargetMode="External"/><Relationship Id="rId55" Type="http://schemas.openxmlformats.org/officeDocument/2006/relationships/hyperlink" Target="mailto:quequealmeida@hotmail.com" TargetMode="External"/><Relationship Id="rId76" Type="http://schemas.openxmlformats.org/officeDocument/2006/relationships/hyperlink" Target="mailto:gabiimaineri@yahoo.com.br" TargetMode="External"/><Relationship Id="rId97" Type="http://schemas.openxmlformats.org/officeDocument/2006/relationships/hyperlink" Target="mailto:glaucia.nmedeiros@gmail.com" TargetMode="External"/><Relationship Id="rId7" Type="http://schemas.openxmlformats.org/officeDocument/2006/relationships/hyperlink" Target="mailto:secundino.costa@gmail.com" TargetMode="External"/><Relationship Id="rId71" Type="http://schemas.openxmlformats.org/officeDocument/2006/relationships/hyperlink" Target="mailto:patimail@gmail.com" TargetMode="External"/><Relationship Id="rId92" Type="http://schemas.openxmlformats.org/officeDocument/2006/relationships/hyperlink" Target="mailto:lucassantos2014616@gmail.com" TargetMode="External"/><Relationship Id="rId2" Type="http://schemas.openxmlformats.org/officeDocument/2006/relationships/hyperlink" Target="mailto:sta.faustina.er@gmail.com" TargetMode="External"/><Relationship Id="rId29" Type="http://schemas.openxmlformats.org/officeDocument/2006/relationships/hyperlink" Target="mailto:hercyalencar@hotmail.com" TargetMode="External"/><Relationship Id="rId24" Type="http://schemas.openxmlformats.org/officeDocument/2006/relationships/hyperlink" Target="mailto:mazzeorama@hotmail.com.ar" TargetMode="External"/><Relationship Id="rId40" Type="http://schemas.openxmlformats.org/officeDocument/2006/relationships/hyperlink" Target="mailto:marcoaraujo71@gmail.com" TargetMode="External"/><Relationship Id="rId45" Type="http://schemas.openxmlformats.org/officeDocument/2006/relationships/hyperlink" Target="mailto:julianagraciosa@gmail.com" TargetMode="External"/><Relationship Id="rId66" Type="http://schemas.openxmlformats.org/officeDocument/2006/relationships/hyperlink" Target="mailto:pejalfredo@gmail.com" TargetMode="External"/><Relationship Id="rId87" Type="http://schemas.openxmlformats.org/officeDocument/2006/relationships/hyperlink" Target="mailto:artur.soares.sousa@gmail.com" TargetMode="External"/><Relationship Id="rId61" Type="http://schemas.openxmlformats.org/officeDocument/2006/relationships/hyperlink" Target="mailto:nicollemoulin@gmail.com" TargetMode="External"/><Relationship Id="rId82" Type="http://schemas.openxmlformats.org/officeDocument/2006/relationships/hyperlink" Target="mailto:delmina.ramos@gmail.com" TargetMode="External"/><Relationship Id="rId19" Type="http://schemas.openxmlformats.org/officeDocument/2006/relationships/hyperlink" Target="mailto:fabiana.simonassi@hotmail.com" TargetMode="External"/><Relationship Id="rId14" Type="http://schemas.openxmlformats.org/officeDocument/2006/relationships/hyperlink" Target="mailto:cristianamspereira@hotmail.com" TargetMode="External"/><Relationship Id="rId30" Type="http://schemas.openxmlformats.org/officeDocument/2006/relationships/hyperlink" Target="mailto:saints33@startmail.com" TargetMode="External"/><Relationship Id="rId35" Type="http://schemas.openxmlformats.org/officeDocument/2006/relationships/hyperlink" Target="mailto:seguros.mlopes@icloud.com" TargetMode="External"/><Relationship Id="rId56" Type="http://schemas.openxmlformats.org/officeDocument/2006/relationships/hyperlink" Target="mailto:helisiane.andrade@trf6.jus.br" TargetMode="External"/><Relationship Id="rId77" Type="http://schemas.openxmlformats.org/officeDocument/2006/relationships/hyperlink" Target="mailto:delaividoti@gmail.com" TargetMode="External"/><Relationship Id="rId100" Type="http://schemas.microsoft.com/office/2017/10/relationships/threadedComment" Target="../threadedComments/threadedComment2.xml"/><Relationship Id="rId8" Type="http://schemas.openxmlformats.org/officeDocument/2006/relationships/hyperlink" Target="mailto:do.joao.ribeiro@gmail.com" TargetMode="External"/><Relationship Id="rId51" Type="http://schemas.openxmlformats.org/officeDocument/2006/relationships/hyperlink" Target="mailto:mazzeorama@hotmail.com.ar" TargetMode="External"/><Relationship Id="rId72" Type="http://schemas.openxmlformats.org/officeDocument/2006/relationships/hyperlink" Target="mailto:marcelodepaulaferreira@gmail.com" TargetMode="External"/><Relationship Id="rId93" Type="http://schemas.openxmlformats.org/officeDocument/2006/relationships/hyperlink" Target="mailto:mcbizarisilva@outlook.com.br" TargetMode="External"/><Relationship Id="rId98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3848-073F-467F-8947-A7DBD8CAF5BD}">
  <dimension ref="A1:U97"/>
  <sheetViews>
    <sheetView topLeftCell="A52" zoomScale="70" zoomScaleNormal="70" workbookViewId="0">
      <selection activeCell="G77" sqref="G77"/>
    </sheetView>
  </sheetViews>
  <sheetFormatPr defaultRowHeight="14.4" x14ac:dyDescent="0.3"/>
  <cols>
    <col min="1" max="1" width="28.88671875" bestFit="1" customWidth="1"/>
    <col min="2" max="2" width="45" bestFit="1" customWidth="1"/>
    <col min="3" max="3" width="25" bestFit="1" customWidth="1"/>
    <col min="4" max="4" width="120" bestFit="1" customWidth="1"/>
    <col min="5" max="5" width="18.6640625" customWidth="1"/>
    <col min="6" max="6" width="15.5546875" customWidth="1"/>
    <col min="7" max="7" width="34.33203125" bestFit="1" customWidth="1"/>
    <col min="8" max="8" width="10.109375" customWidth="1"/>
    <col min="9" max="9" width="15.6640625" customWidth="1"/>
    <col min="10" max="10" width="28.6640625" bestFit="1" customWidth="1"/>
    <col min="11" max="11" width="12.33203125" bestFit="1" customWidth="1"/>
    <col min="12" max="12" width="14.5546875" bestFit="1" customWidth="1"/>
    <col min="13" max="13" width="30.5546875" bestFit="1" customWidth="1"/>
    <col min="14" max="14" width="26.33203125" customWidth="1"/>
    <col min="15" max="15" width="10.6640625" customWidth="1"/>
    <col min="16" max="16" width="29" bestFit="1" customWidth="1"/>
    <col min="17" max="17" width="26.33203125" bestFit="1" customWidth="1"/>
    <col min="19" max="19" width="30.33203125" bestFit="1" customWidth="1"/>
    <col min="20" max="20" width="17.109375" bestFit="1" customWidth="1"/>
  </cols>
  <sheetData>
    <row r="1" spans="1:20" ht="12" customHeight="1" thickBot="1" x14ac:dyDescent="0.35"/>
    <row r="2" spans="1:20" ht="15" hidden="1" thickBot="1" x14ac:dyDescent="0.35">
      <c r="K2" s="226" t="s">
        <v>147</v>
      </c>
      <c r="L2" s="227"/>
      <c r="M2" s="227"/>
      <c r="N2" s="227"/>
      <c r="O2" s="227"/>
      <c r="P2" s="228"/>
    </row>
    <row r="3" spans="1:20" ht="35.4" customHeight="1" thickBot="1" x14ac:dyDescent="0.4">
      <c r="A3" s="44" t="s">
        <v>202</v>
      </c>
      <c r="B3" s="43" t="s">
        <v>203</v>
      </c>
      <c r="C3" s="43" t="s">
        <v>204</v>
      </c>
      <c r="D3" s="43" t="s">
        <v>0</v>
      </c>
      <c r="E3" s="76" t="s">
        <v>215</v>
      </c>
      <c r="F3" s="43" t="s">
        <v>1</v>
      </c>
      <c r="G3" s="43" t="s">
        <v>2</v>
      </c>
      <c r="H3" s="43" t="s">
        <v>3</v>
      </c>
      <c r="I3" s="43" t="s">
        <v>205</v>
      </c>
      <c r="J3" s="43" t="s">
        <v>22</v>
      </c>
      <c r="K3" s="44">
        <v>2023</v>
      </c>
      <c r="L3" s="43">
        <v>2024</v>
      </c>
      <c r="M3" s="45" t="s">
        <v>199</v>
      </c>
      <c r="N3" s="45" t="s">
        <v>209</v>
      </c>
      <c r="O3" s="44">
        <v>2025</v>
      </c>
      <c r="P3" s="44" t="s">
        <v>211</v>
      </c>
      <c r="Q3" s="93" t="s">
        <v>209</v>
      </c>
      <c r="R3" s="43">
        <v>2026</v>
      </c>
      <c r="S3" s="99" t="s">
        <v>371</v>
      </c>
      <c r="T3" s="100" t="s">
        <v>209</v>
      </c>
    </row>
    <row r="4" spans="1:20" x14ac:dyDescent="0.3">
      <c r="A4" s="80">
        <v>1</v>
      </c>
      <c r="B4" s="11" t="s">
        <v>4</v>
      </c>
      <c r="C4" s="46" t="s">
        <v>16</v>
      </c>
      <c r="D4" s="11"/>
      <c r="E4" s="11"/>
      <c r="F4" s="47"/>
      <c r="G4" s="11"/>
      <c r="H4" s="46" t="s">
        <v>42</v>
      </c>
      <c r="I4" s="46"/>
      <c r="J4" s="11"/>
      <c r="K4" s="21">
        <v>25</v>
      </c>
      <c r="L4" s="27">
        <v>0</v>
      </c>
      <c r="M4" s="28" t="s">
        <v>148</v>
      </c>
      <c r="N4" s="52" t="s">
        <v>148</v>
      </c>
      <c r="O4" s="62">
        <v>0</v>
      </c>
      <c r="P4" s="21" t="s">
        <v>148</v>
      </c>
      <c r="Q4" s="94"/>
      <c r="R4" s="94"/>
      <c r="S4" s="1"/>
      <c r="T4" s="1"/>
    </row>
    <row r="5" spans="1:20" x14ac:dyDescent="0.3">
      <c r="A5" s="3">
        <v>2</v>
      </c>
      <c r="B5" s="1" t="s">
        <v>5</v>
      </c>
      <c r="C5" s="2" t="s">
        <v>16</v>
      </c>
      <c r="D5" s="1"/>
      <c r="E5" s="1"/>
      <c r="F5" s="12"/>
      <c r="G5" s="1"/>
      <c r="H5" s="2" t="s">
        <v>42</v>
      </c>
      <c r="I5" s="2"/>
      <c r="J5" s="1"/>
      <c r="K5" s="22">
        <v>0</v>
      </c>
      <c r="L5" s="29">
        <v>0</v>
      </c>
      <c r="M5" s="36" t="s">
        <v>148</v>
      </c>
      <c r="N5" s="52" t="s">
        <v>148</v>
      </c>
      <c r="O5" s="60">
        <v>0</v>
      </c>
      <c r="P5" s="21" t="s">
        <v>148</v>
      </c>
      <c r="Q5" s="26"/>
      <c r="R5" s="26"/>
      <c r="S5" s="1"/>
      <c r="T5" s="1"/>
    </row>
    <row r="6" spans="1:20" x14ac:dyDescent="0.3">
      <c r="A6" s="3">
        <v>3</v>
      </c>
      <c r="B6" s="1" t="s">
        <v>6</v>
      </c>
      <c r="C6" s="2" t="s">
        <v>16</v>
      </c>
      <c r="D6" s="1"/>
      <c r="E6" s="1"/>
      <c r="F6" s="12"/>
      <c r="G6" s="1"/>
      <c r="H6" s="2" t="s">
        <v>42</v>
      </c>
      <c r="I6" s="2"/>
      <c r="J6" s="1"/>
      <c r="K6" s="22">
        <v>0</v>
      </c>
      <c r="L6" s="29">
        <v>0</v>
      </c>
      <c r="M6" s="36" t="s">
        <v>148</v>
      </c>
      <c r="N6" s="52" t="s">
        <v>148</v>
      </c>
      <c r="O6" s="60">
        <v>0</v>
      </c>
      <c r="P6" s="21" t="s">
        <v>148</v>
      </c>
      <c r="Q6" s="26"/>
      <c r="R6" s="26"/>
      <c r="S6" s="1"/>
      <c r="T6" s="1"/>
    </row>
    <row r="7" spans="1:20" x14ac:dyDescent="0.3">
      <c r="A7" s="3">
        <v>4</v>
      </c>
      <c r="B7" s="1" t="s">
        <v>7</v>
      </c>
      <c r="C7" s="2" t="s">
        <v>16</v>
      </c>
      <c r="D7" s="1"/>
      <c r="E7" s="1"/>
      <c r="F7" s="12"/>
      <c r="G7" s="1"/>
      <c r="H7" s="2" t="s">
        <v>42</v>
      </c>
      <c r="I7" s="2"/>
      <c r="J7" s="1"/>
      <c r="K7" s="22">
        <v>0</v>
      </c>
      <c r="L7" s="29">
        <v>0</v>
      </c>
      <c r="M7" s="36" t="s">
        <v>148</v>
      </c>
      <c r="N7" s="52" t="s">
        <v>148</v>
      </c>
      <c r="O7" s="60">
        <v>0</v>
      </c>
      <c r="P7" s="21" t="s">
        <v>148</v>
      </c>
      <c r="Q7" s="26"/>
      <c r="R7" s="26"/>
      <c r="S7" s="1"/>
      <c r="T7" s="1"/>
    </row>
    <row r="8" spans="1:20" x14ac:dyDescent="0.3">
      <c r="A8" s="3">
        <v>5</v>
      </c>
      <c r="B8" s="1" t="s">
        <v>8</v>
      </c>
      <c r="C8" s="2" t="s">
        <v>16</v>
      </c>
      <c r="D8" s="1"/>
      <c r="E8" s="1"/>
      <c r="F8" s="12"/>
      <c r="G8" s="1"/>
      <c r="H8" s="2" t="s">
        <v>42</v>
      </c>
      <c r="I8" s="2"/>
      <c r="J8" s="1"/>
      <c r="K8" s="22">
        <v>0</v>
      </c>
      <c r="L8" s="29">
        <v>0</v>
      </c>
      <c r="M8" s="36" t="s">
        <v>148</v>
      </c>
      <c r="N8" s="52" t="s">
        <v>148</v>
      </c>
      <c r="O8" s="60">
        <v>0</v>
      </c>
      <c r="P8" s="21" t="s">
        <v>148</v>
      </c>
      <c r="Q8" s="26"/>
      <c r="R8" s="26"/>
      <c r="S8" s="1"/>
      <c r="T8" s="1"/>
    </row>
    <row r="9" spans="1:20" x14ac:dyDescent="0.3">
      <c r="A9" s="3">
        <v>6</v>
      </c>
      <c r="B9" s="1" t="s">
        <v>9</v>
      </c>
      <c r="C9" s="2" t="s">
        <v>16</v>
      </c>
      <c r="D9" s="1"/>
      <c r="E9" s="1"/>
      <c r="F9" s="12"/>
      <c r="G9" s="1"/>
      <c r="H9" s="2" t="s">
        <v>42</v>
      </c>
      <c r="I9" s="2"/>
      <c r="J9" s="1"/>
      <c r="K9" s="22">
        <v>0</v>
      </c>
      <c r="L9" s="29">
        <v>0</v>
      </c>
      <c r="M9" s="36" t="s">
        <v>148</v>
      </c>
      <c r="N9" s="52" t="s">
        <v>148</v>
      </c>
      <c r="O9" s="60">
        <v>0</v>
      </c>
      <c r="P9" s="21" t="s">
        <v>148</v>
      </c>
      <c r="Q9" s="26"/>
      <c r="R9" s="26"/>
      <c r="S9" s="1"/>
      <c r="T9" s="1"/>
    </row>
    <row r="10" spans="1:20" x14ac:dyDescent="0.3">
      <c r="A10" s="3">
        <v>7</v>
      </c>
      <c r="B10" s="1" t="s">
        <v>10</v>
      </c>
      <c r="C10" s="2" t="s">
        <v>16</v>
      </c>
      <c r="D10" s="1"/>
      <c r="E10" s="1"/>
      <c r="F10" s="12"/>
      <c r="G10" s="1"/>
      <c r="H10" s="2" t="s">
        <v>42</v>
      </c>
      <c r="I10" s="2"/>
      <c r="J10" s="1"/>
      <c r="K10" s="22">
        <v>0</v>
      </c>
      <c r="L10" s="29">
        <v>0</v>
      </c>
      <c r="M10" s="36" t="s">
        <v>148</v>
      </c>
      <c r="N10" s="52" t="s">
        <v>148</v>
      </c>
      <c r="O10" s="60">
        <v>0</v>
      </c>
      <c r="P10" s="21" t="s">
        <v>148</v>
      </c>
      <c r="Q10" s="26"/>
      <c r="R10" s="26"/>
      <c r="S10" s="1"/>
      <c r="T10" s="1"/>
    </row>
    <row r="11" spans="1:20" x14ac:dyDescent="0.3">
      <c r="A11" s="3">
        <v>8</v>
      </c>
      <c r="B11" s="1" t="s">
        <v>11</v>
      </c>
      <c r="C11" s="2" t="s">
        <v>16</v>
      </c>
      <c r="D11" s="1"/>
      <c r="E11" s="1"/>
      <c r="F11" s="12"/>
      <c r="G11" s="1"/>
      <c r="H11" s="2" t="s">
        <v>42</v>
      </c>
      <c r="I11" s="2"/>
      <c r="J11" s="1"/>
      <c r="K11" s="22">
        <v>0</v>
      </c>
      <c r="L11" s="29">
        <v>0</v>
      </c>
      <c r="M11" s="36" t="s">
        <v>148</v>
      </c>
      <c r="N11" s="52" t="s">
        <v>148</v>
      </c>
      <c r="O11" s="60">
        <v>0</v>
      </c>
      <c r="P11" s="21" t="s">
        <v>148</v>
      </c>
      <c r="Q11" s="26"/>
      <c r="R11" s="26"/>
      <c r="S11" s="1"/>
      <c r="T11" s="1"/>
    </row>
    <row r="12" spans="1:20" x14ac:dyDescent="0.3">
      <c r="A12" s="3">
        <v>9</v>
      </c>
      <c r="B12" s="1" t="s">
        <v>12</v>
      </c>
      <c r="C12" s="2" t="s">
        <v>16</v>
      </c>
      <c r="D12" s="1"/>
      <c r="E12" s="1"/>
      <c r="F12" s="12"/>
      <c r="G12" s="1"/>
      <c r="H12" s="2" t="s">
        <v>42</v>
      </c>
      <c r="I12" s="2"/>
      <c r="J12" s="1"/>
      <c r="K12" s="22">
        <v>0</v>
      </c>
      <c r="L12" s="29">
        <v>0</v>
      </c>
      <c r="M12" s="36" t="s">
        <v>148</v>
      </c>
      <c r="N12" s="52" t="s">
        <v>148</v>
      </c>
      <c r="O12" s="60">
        <v>0</v>
      </c>
      <c r="P12" s="21" t="s">
        <v>148</v>
      </c>
      <c r="Q12" s="26"/>
      <c r="R12" s="26"/>
      <c r="S12" s="1"/>
      <c r="T12" s="1"/>
    </row>
    <row r="13" spans="1:20" x14ac:dyDescent="0.3">
      <c r="A13" s="3">
        <v>10</v>
      </c>
      <c r="B13" s="1" t="s">
        <v>13</v>
      </c>
      <c r="C13" s="2" t="s">
        <v>16</v>
      </c>
      <c r="D13" s="1"/>
      <c r="E13" s="1"/>
      <c r="F13" s="12"/>
      <c r="G13" s="1"/>
      <c r="H13" s="2" t="s">
        <v>42</v>
      </c>
      <c r="I13" s="2"/>
      <c r="J13" s="1"/>
      <c r="K13" s="22">
        <v>0</v>
      </c>
      <c r="L13" s="29">
        <v>0</v>
      </c>
      <c r="M13" s="36" t="s">
        <v>148</v>
      </c>
      <c r="N13" s="52" t="s">
        <v>148</v>
      </c>
      <c r="O13" s="60">
        <v>0</v>
      </c>
      <c r="P13" s="21" t="s">
        <v>148</v>
      </c>
      <c r="Q13" s="26"/>
      <c r="R13" s="26"/>
      <c r="S13" s="1"/>
      <c r="T13" s="1"/>
    </row>
    <row r="14" spans="1:20" x14ac:dyDescent="0.3">
      <c r="A14" s="3">
        <v>11</v>
      </c>
      <c r="B14" s="9" t="s">
        <v>120</v>
      </c>
      <c r="C14" s="2" t="s">
        <v>18</v>
      </c>
      <c r="D14" s="1" t="s">
        <v>250</v>
      </c>
      <c r="E14" s="2" t="s">
        <v>251</v>
      </c>
      <c r="F14" s="13">
        <v>21998088986</v>
      </c>
      <c r="G14" s="68" t="s">
        <v>121</v>
      </c>
      <c r="H14" s="2" t="s">
        <v>20</v>
      </c>
      <c r="I14" s="6"/>
      <c r="J14" s="19" t="s">
        <v>23</v>
      </c>
      <c r="K14" s="22"/>
      <c r="L14" s="29">
        <v>25</v>
      </c>
      <c r="M14" s="30" t="s">
        <v>198</v>
      </c>
      <c r="N14" s="52" t="s">
        <v>148</v>
      </c>
      <c r="O14" s="60">
        <v>19.93</v>
      </c>
      <c r="P14" s="22" t="s">
        <v>212</v>
      </c>
      <c r="Q14" s="95" t="s">
        <v>261</v>
      </c>
      <c r="R14" s="26"/>
      <c r="S14" s="1"/>
      <c r="T14" s="1"/>
    </row>
    <row r="15" spans="1:20" x14ac:dyDescent="0.3">
      <c r="A15" s="3">
        <v>12</v>
      </c>
      <c r="B15" s="9" t="s">
        <v>86</v>
      </c>
      <c r="C15" s="2" t="s">
        <v>18</v>
      </c>
      <c r="D15" s="1" t="s">
        <v>30</v>
      </c>
      <c r="E15" s="2" t="s">
        <v>228</v>
      </c>
      <c r="F15" s="12">
        <v>48999828560</v>
      </c>
      <c r="G15" s="69" t="s">
        <v>31</v>
      </c>
      <c r="H15" s="2" t="s">
        <v>20</v>
      </c>
      <c r="I15" s="2"/>
      <c r="J15" s="9" t="s">
        <v>23</v>
      </c>
      <c r="K15" s="22">
        <v>25</v>
      </c>
      <c r="L15" s="31">
        <v>20.73</v>
      </c>
      <c r="M15" s="30" t="s">
        <v>200</v>
      </c>
      <c r="N15" s="53" t="s">
        <v>210</v>
      </c>
      <c r="O15" s="60">
        <v>19.91</v>
      </c>
      <c r="P15" s="22" t="s">
        <v>212</v>
      </c>
      <c r="Q15" s="95" t="s">
        <v>262</v>
      </c>
      <c r="R15" s="26"/>
      <c r="S15" s="1"/>
      <c r="T15" s="1"/>
    </row>
    <row r="16" spans="1:20" x14ac:dyDescent="0.3">
      <c r="A16" s="3">
        <v>13</v>
      </c>
      <c r="B16" s="66" t="s">
        <v>24</v>
      </c>
      <c r="C16" s="2" t="s">
        <v>18</v>
      </c>
      <c r="D16" s="1" t="s">
        <v>28</v>
      </c>
      <c r="E16" s="2" t="s">
        <v>233</v>
      </c>
      <c r="F16" s="12">
        <v>5548984128990</v>
      </c>
      <c r="G16" s="69" t="s">
        <v>29</v>
      </c>
      <c r="H16" s="2" t="s">
        <v>20</v>
      </c>
      <c r="I16" s="2"/>
      <c r="J16" s="9" t="s">
        <v>23</v>
      </c>
      <c r="K16" s="22">
        <v>25</v>
      </c>
      <c r="L16" s="31">
        <v>20.16</v>
      </c>
      <c r="M16" s="30" t="s">
        <v>200</v>
      </c>
      <c r="N16" s="53" t="s">
        <v>210</v>
      </c>
      <c r="O16" s="60">
        <v>20.010000000000002</v>
      </c>
      <c r="P16" s="22" t="s">
        <v>212</v>
      </c>
      <c r="Q16" s="95" t="s">
        <v>263</v>
      </c>
      <c r="R16" s="26"/>
      <c r="S16" s="1"/>
      <c r="T16" s="1"/>
    </row>
    <row r="17" spans="1:20" x14ac:dyDescent="0.3">
      <c r="A17" s="3">
        <v>14</v>
      </c>
      <c r="B17" s="9" t="s">
        <v>145</v>
      </c>
      <c r="C17" s="7" t="s">
        <v>18</v>
      </c>
      <c r="D17" s="9" t="s">
        <v>260</v>
      </c>
      <c r="E17" s="7">
        <v>58038411</v>
      </c>
      <c r="F17" s="14">
        <v>5583994446288</v>
      </c>
      <c r="G17" s="68" t="s">
        <v>146</v>
      </c>
      <c r="H17" s="7" t="s">
        <v>20</v>
      </c>
      <c r="I17" s="7"/>
      <c r="J17" s="9" t="s">
        <v>23</v>
      </c>
      <c r="K17" s="22"/>
      <c r="L17" s="29">
        <v>25</v>
      </c>
      <c r="M17" s="30" t="s">
        <v>198</v>
      </c>
      <c r="N17" s="52" t="s">
        <v>148</v>
      </c>
      <c r="O17" s="60">
        <v>20.329999999999998</v>
      </c>
      <c r="P17" s="22" t="s">
        <v>212</v>
      </c>
      <c r="Q17" s="95" t="s">
        <v>264</v>
      </c>
      <c r="R17" s="26"/>
      <c r="S17" s="1"/>
      <c r="T17" s="1"/>
    </row>
    <row r="18" spans="1:20" x14ac:dyDescent="0.3">
      <c r="A18" s="3">
        <v>15</v>
      </c>
      <c r="B18" s="9" t="s">
        <v>46</v>
      </c>
      <c r="C18" s="2" t="s">
        <v>18</v>
      </c>
      <c r="D18" s="1" t="s">
        <v>236</v>
      </c>
      <c r="E18" s="2" t="s">
        <v>237</v>
      </c>
      <c r="F18" s="12">
        <v>5548999724819</v>
      </c>
      <c r="G18" s="69" t="s">
        <v>47</v>
      </c>
      <c r="H18" s="2" t="s">
        <v>20</v>
      </c>
      <c r="I18" s="2"/>
      <c r="J18" s="9" t="s">
        <v>23</v>
      </c>
      <c r="K18" s="22">
        <v>25</v>
      </c>
      <c r="L18" s="29">
        <v>20.94</v>
      </c>
      <c r="M18" s="30" t="s">
        <v>200</v>
      </c>
      <c r="N18" s="53" t="s">
        <v>210</v>
      </c>
      <c r="O18" s="60">
        <v>19.88</v>
      </c>
      <c r="P18" s="22" t="s">
        <v>212</v>
      </c>
      <c r="Q18" s="95" t="s">
        <v>265</v>
      </c>
      <c r="R18" s="26"/>
      <c r="S18" s="1"/>
      <c r="T18" s="1"/>
    </row>
    <row r="19" spans="1:20" x14ac:dyDescent="0.3">
      <c r="A19" s="3">
        <v>16</v>
      </c>
      <c r="B19" s="9" t="s">
        <v>14</v>
      </c>
      <c r="C19" s="2" t="s">
        <v>18</v>
      </c>
      <c r="D19" s="1" t="s">
        <v>254</v>
      </c>
      <c r="E19" s="2" t="s">
        <v>255</v>
      </c>
      <c r="F19" s="12">
        <v>5548988434679</v>
      </c>
      <c r="G19" s="70" t="s">
        <v>90</v>
      </c>
      <c r="H19" s="2" t="s">
        <v>20</v>
      </c>
      <c r="I19" s="2"/>
      <c r="J19" s="9" t="s">
        <v>23</v>
      </c>
      <c r="K19" s="22">
        <v>25</v>
      </c>
      <c r="L19" s="29">
        <v>21.07</v>
      </c>
      <c r="M19" s="30" t="s">
        <v>200</v>
      </c>
      <c r="N19" s="53" t="s">
        <v>210</v>
      </c>
      <c r="O19" s="60">
        <v>23.94</v>
      </c>
      <c r="P19" s="22" t="s">
        <v>212</v>
      </c>
      <c r="Q19" s="95" t="s">
        <v>266</v>
      </c>
      <c r="R19" s="26"/>
      <c r="S19" s="1"/>
      <c r="T19" s="1"/>
    </row>
    <row r="20" spans="1:20" x14ac:dyDescent="0.3">
      <c r="A20" s="3">
        <v>17</v>
      </c>
      <c r="B20" s="9" t="s">
        <v>138</v>
      </c>
      <c r="C20" s="7" t="s">
        <v>18</v>
      </c>
      <c r="D20" s="9" t="s">
        <v>139</v>
      </c>
      <c r="E20" s="7">
        <v>40130030</v>
      </c>
      <c r="F20" s="14" t="s">
        <v>140</v>
      </c>
      <c r="G20" s="68" t="s">
        <v>141</v>
      </c>
      <c r="H20" s="7" t="s">
        <v>20</v>
      </c>
      <c r="I20" s="7"/>
      <c r="J20" s="9" t="s">
        <v>23</v>
      </c>
      <c r="K20" s="22"/>
      <c r="L20" s="29">
        <v>25</v>
      </c>
      <c r="M20" s="30" t="s">
        <v>198</v>
      </c>
      <c r="N20" s="52" t="s">
        <v>148</v>
      </c>
      <c r="O20" s="60">
        <v>20.04</v>
      </c>
      <c r="P20" s="22" t="s">
        <v>212</v>
      </c>
      <c r="Q20" s="95" t="s">
        <v>267</v>
      </c>
      <c r="R20" s="26"/>
      <c r="S20" s="1"/>
      <c r="T20" s="1"/>
    </row>
    <row r="21" spans="1:20" x14ac:dyDescent="0.3">
      <c r="A21" s="3">
        <v>18</v>
      </c>
      <c r="B21" s="9" t="s">
        <v>142</v>
      </c>
      <c r="C21" s="7" t="s">
        <v>18</v>
      </c>
      <c r="D21" s="9" t="s">
        <v>143</v>
      </c>
      <c r="E21" s="7" t="s">
        <v>253</v>
      </c>
      <c r="F21" s="14">
        <v>5516999934684</v>
      </c>
      <c r="G21" s="69" t="s">
        <v>144</v>
      </c>
      <c r="H21" s="7" t="s">
        <v>20</v>
      </c>
      <c r="I21" s="7"/>
      <c r="J21" s="9" t="s">
        <v>23</v>
      </c>
      <c r="K21" s="22"/>
      <c r="L21" s="29">
        <v>25</v>
      </c>
      <c r="M21" s="30" t="s">
        <v>198</v>
      </c>
      <c r="N21" s="52" t="s">
        <v>148</v>
      </c>
      <c r="O21" s="60">
        <v>19.899999999999999</v>
      </c>
      <c r="P21" s="22" t="s">
        <v>212</v>
      </c>
      <c r="Q21" s="95" t="s">
        <v>268</v>
      </c>
      <c r="R21" s="26"/>
      <c r="S21" s="1"/>
      <c r="T21" s="1"/>
    </row>
    <row r="22" spans="1:20" x14ac:dyDescent="0.3">
      <c r="A22" s="3">
        <v>19</v>
      </c>
      <c r="B22" s="66" t="s">
        <v>127</v>
      </c>
      <c r="C22" s="7" t="s">
        <v>18</v>
      </c>
      <c r="D22" s="9" t="s">
        <v>125</v>
      </c>
      <c r="E22" s="7" t="s">
        <v>234</v>
      </c>
      <c r="F22" s="14">
        <v>5511971674407</v>
      </c>
      <c r="G22" s="68" t="s">
        <v>126</v>
      </c>
      <c r="H22" s="7" t="s">
        <v>20</v>
      </c>
      <c r="I22" s="7"/>
      <c r="J22" s="9" t="s">
        <v>23</v>
      </c>
      <c r="K22" s="22"/>
      <c r="L22" s="29">
        <v>25</v>
      </c>
      <c r="M22" s="30" t="s">
        <v>198</v>
      </c>
      <c r="N22" s="52" t="s">
        <v>148</v>
      </c>
      <c r="O22" s="60">
        <v>20.09</v>
      </c>
      <c r="P22" s="22" t="s">
        <v>212</v>
      </c>
      <c r="Q22" s="95" t="s">
        <v>269</v>
      </c>
      <c r="R22" s="26"/>
      <c r="S22" s="1"/>
      <c r="T22" s="1"/>
    </row>
    <row r="23" spans="1:20" x14ac:dyDescent="0.3">
      <c r="A23" s="3">
        <v>20</v>
      </c>
      <c r="B23" s="66" t="s">
        <v>15</v>
      </c>
      <c r="C23" s="2" t="s">
        <v>18</v>
      </c>
      <c r="D23" s="1" t="s">
        <v>34</v>
      </c>
      <c r="E23" s="2" t="s">
        <v>252</v>
      </c>
      <c r="F23" s="12">
        <v>5591981483434</v>
      </c>
      <c r="G23" s="69" t="s">
        <v>35</v>
      </c>
      <c r="H23" s="2" t="s">
        <v>20</v>
      </c>
      <c r="I23" s="2"/>
      <c r="J23" s="9" t="s">
        <v>23</v>
      </c>
      <c r="K23" s="22">
        <v>25</v>
      </c>
      <c r="L23" s="29">
        <v>20.94</v>
      </c>
      <c r="M23" s="30" t="s">
        <v>200</v>
      </c>
      <c r="N23" s="53" t="s">
        <v>210</v>
      </c>
      <c r="O23" s="60">
        <v>25</v>
      </c>
      <c r="P23" s="22" t="s">
        <v>214</v>
      </c>
      <c r="Q23" s="95" t="s">
        <v>270</v>
      </c>
      <c r="R23" s="26"/>
      <c r="S23" s="1"/>
      <c r="T23" s="1"/>
    </row>
    <row r="24" spans="1:20" x14ac:dyDescent="0.3">
      <c r="A24" s="3">
        <v>21</v>
      </c>
      <c r="B24" s="9" t="s">
        <v>150</v>
      </c>
      <c r="C24" s="7" t="s">
        <v>18</v>
      </c>
      <c r="D24" s="9" t="s">
        <v>151</v>
      </c>
      <c r="E24" s="9"/>
      <c r="F24" s="14">
        <v>542920474418</v>
      </c>
      <c r="G24" s="68" t="s">
        <v>152</v>
      </c>
      <c r="H24" s="9" t="s">
        <v>153</v>
      </c>
      <c r="I24" s="9"/>
      <c r="J24" s="9" t="s">
        <v>23</v>
      </c>
      <c r="K24" s="23"/>
      <c r="L24" s="32"/>
      <c r="M24" s="33"/>
      <c r="N24" s="54"/>
      <c r="O24" s="58">
        <v>25</v>
      </c>
      <c r="P24" s="23" t="s">
        <v>407</v>
      </c>
      <c r="Q24" s="56" t="s">
        <v>391</v>
      </c>
      <c r="R24" s="26"/>
      <c r="S24" s="1"/>
      <c r="T24" s="1"/>
    </row>
    <row r="25" spans="1:20" x14ac:dyDescent="0.3">
      <c r="A25" s="3">
        <v>22</v>
      </c>
      <c r="B25" s="63" t="s">
        <v>157</v>
      </c>
      <c r="C25" s="7" t="s">
        <v>18</v>
      </c>
      <c r="D25" s="9" t="s">
        <v>158</v>
      </c>
      <c r="E25" s="9"/>
      <c r="F25" s="14">
        <v>7192291703</v>
      </c>
      <c r="G25" s="71" t="s">
        <v>159</v>
      </c>
      <c r="H25" s="7" t="s">
        <v>39</v>
      </c>
      <c r="I25" s="7"/>
      <c r="J25" s="9" t="s">
        <v>23</v>
      </c>
      <c r="K25" s="23"/>
      <c r="L25" s="31">
        <v>23.16</v>
      </c>
      <c r="M25" s="30" t="s">
        <v>200</v>
      </c>
      <c r="N25" s="53" t="s">
        <v>210</v>
      </c>
      <c r="O25" s="115"/>
      <c r="P25" s="23"/>
      <c r="Q25" s="117"/>
      <c r="R25" s="26"/>
      <c r="S25" s="1"/>
      <c r="T25" s="1"/>
    </row>
    <row r="26" spans="1:20" x14ac:dyDescent="0.3">
      <c r="A26" s="3">
        <v>23</v>
      </c>
      <c r="B26" s="63" t="s">
        <v>154</v>
      </c>
      <c r="C26" s="7" t="s">
        <v>18</v>
      </c>
      <c r="D26" s="9" t="s">
        <v>155</v>
      </c>
      <c r="E26" s="9"/>
      <c r="F26" s="14">
        <v>91982442585</v>
      </c>
      <c r="G26" s="68" t="s">
        <v>156</v>
      </c>
      <c r="H26" s="9" t="s">
        <v>20</v>
      </c>
      <c r="I26" s="9"/>
      <c r="J26" s="9" t="s">
        <v>23</v>
      </c>
      <c r="K26" s="23"/>
      <c r="L26" s="31">
        <v>20.5</v>
      </c>
      <c r="M26" s="30" t="s">
        <v>200</v>
      </c>
      <c r="N26" s="53" t="s">
        <v>210</v>
      </c>
      <c r="O26" s="115"/>
      <c r="P26" s="23"/>
      <c r="Q26" s="117"/>
      <c r="R26" s="26"/>
      <c r="S26" s="1"/>
      <c r="T26" s="1"/>
    </row>
    <row r="27" spans="1:20" x14ac:dyDescent="0.3">
      <c r="A27" s="3">
        <v>24</v>
      </c>
      <c r="B27" s="9" t="s">
        <v>17</v>
      </c>
      <c r="C27" s="2" t="s">
        <v>18</v>
      </c>
      <c r="D27" s="1" t="s">
        <v>21</v>
      </c>
      <c r="E27" s="77">
        <v>74230140</v>
      </c>
      <c r="F27" s="12">
        <v>5562992637446</v>
      </c>
      <c r="G27" s="69" t="s">
        <v>19</v>
      </c>
      <c r="H27" s="1" t="s">
        <v>20</v>
      </c>
      <c r="I27" s="1"/>
      <c r="J27" s="9" t="s">
        <v>23</v>
      </c>
      <c r="K27" s="22">
        <v>19.21</v>
      </c>
      <c r="L27" s="29">
        <v>21.05</v>
      </c>
      <c r="M27" s="30" t="s">
        <v>200</v>
      </c>
      <c r="N27" s="53" t="s">
        <v>210</v>
      </c>
      <c r="O27" s="60">
        <v>20.010000000000002</v>
      </c>
      <c r="P27" s="22" t="s">
        <v>212</v>
      </c>
      <c r="Q27" s="95" t="s">
        <v>271</v>
      </c>
      <c r="R27" s="26"/>
      <c r="S27" s="1"/>
      <c r="T27" s="1"/>
    </row>
    <row r="28" spans="1:20" x14ac:dyDescent="0.3">
      <c r="A28" s="3">
        <v>25</v>
      </c>
      <c r="B28" s="9" t="s">
        <v>25</v>
      </c>
      <c r="C28" s="2" t="s">
        <v>18</v>
      </c>
      <c r="D28" s="1" t="s">
        <v>26</v>
      </c>
      <c r="E28" s="2" t="s">
        <v>235</v>
      </c>
      <c r="F28" s="12">
        <v>5515997274631</v>
      </c>
      <c r="G28" s="68" t="s">
        <v>27</v>
      </c>
      <c r="H28" s="1" t="s">
        <v>20</v>
      </c>
      <c r="I28" s="1"/>
      <c r="J28" s="9" t="s">
        <v>23</v>
      </c>
      <c r="K28" s="22">
        <v>24.21</v>
      </c>
      <c r="L28" s="31">
        <v>0</v>
      </c>
      <c r="M28" s="30" t="s">
        <v>200</v>
      </c>
      <c r="N28" s="53" t="s">
        <v>210</v>
      </c>
      <c r="O28" s="60">
        <v>0</v>
      </c>
      <c r="P28" s="22" t="s">
        <v>148</v>
      </c>
      <c r="Q28" s="96" t="s">
        <v>272</v>
      </c>
      <c r="R28" s="26"/>
      <c r="S28" s="1"/>
      <c r="T28" s="1"/>
    </row>
    <row r="29" spans="1:20" x14ac:dyDescent="0.3">
      <c r="A29" s="3">
        <v>26</v>
      </c>
      <c r="B29" s="66" t="s">
        <v>32</v>
      </c>
      <c r="C29" s="2" t="s">
        <v>18</v>
      </c>
      <c r="D29" s="1" t="s">
        <v>249</v>
      </c>
      <c r="E29" s="77">
        <v>38412885</v>
      </c>
      <c r="F29" s="12">
        <v>5534996709478</v>
      </c>
      <c r="G29" s="68" t="s">
        <v>33</v>
      </c>
      <c r="H29" s="1" t="s">
        <v>20</v>
      </c>
      <c r="I29" s="1"/>
      <c r="J29" s="9" t="s">
        <v>23</v>
      </c>
      <c r="K29" s="22">
        <v>23.33</v>
      </c>
      <c r="L29" s="31">
        <v>21.05</v>
      </c>
      <c r="M29" s="30" t="s">
        <v>200</v>
      </c>
      <c r="N29" s="53" t="s">
        <v>210</v>
      </c>
      <c r="O29" s="60">
        <v>20.14</v>
      </c>
      <c r="P29" s="22" t="s">
        <v>212</v>
      </c>
      <c r="Q29" s="95" t="s">
        <v>273</v>
      </c>
      <c r="R29" s="26"/>
      <c r="S29" s="1"/>
      <c r="T29" s="1"/>
    </row>
    <row r="30" spans="1:20" x14ac:dyDescent="0.3">
      <c r="A30" s="25"/>
      <c r="B30" s="38" t="s">
        <v>36</v>
      </c>
      <c r="C30" s="25" t="s">
        <v>18</v>
      </c>
      <c r="D30" s="38" t="s">
        <v>37</v>
      </c>
      <c r="E30" s="38"/>
      <c r="F30" s="39">
        <v>114408290477</v>
      </c>
      <c r="G30" s="40" t="s">
        <v>38</v>
      </c>
      <c r="H30" s="25" t="s">
        <v>39</v>
      </c>
      <c r="I30" s="25"/>
      <c r="J30" s="38" t="s">
        <v>23</v>
      </c>
      <c r="K30" s="41">
        <v>25.71</v>
      </c>
      <c r="L30" s="32"/>
      <c r="M30" s="33"/>
      <c r="N30" s="54"/>
      <c r="O30" s="59"/>
      <c r="P30" s="41"/>
      <c r="Q30" s="97"/>
      <c r="R30" s="26"/>
      <c r="S30" s="1"/>
      <c r="T30" s="1"/>
    </row>
    <row r="31" spans="1:20" x14ac:dyDescent="0.3">
      <c r="A31" s="3">
        <v>27</v>
      </c>
      <c r="B31" t="s">
        <v>206</v>
      </c>
      <c r="C31" s="7" t="s">
        <v>18</v>
      </c>
      <c r="D31" s="9" t="s">
        <v>207</v>
      </c>
      <c r="E31" s="7" t="s">
        <v>232</v>
      </c>
      <c r="F31" s="14">
        <v>939791920</v>
      </c>
      <c r="G31" s="68" t="s">
        <v>208</v>
      </c>
      <c r="H31" s="17" t="s">
        <v>42</v>
      </c>
      <c r="I31" s="7"/>
      <c r="J31" s="9" t="s">
        <v>23</v>
      </c>
      <c r="K31" s="23">
        <v>0</v>
      </c>
      <c r="L31" s="31">
        <v>24.45</v>
      </c>
      <c r="M31" s="30" t="s">
        <v>200</v>
      </c>
      <c r="N31" s="53" t="s">
        <v>210</v>
      </c>
      <c r="O31" s="60">
        <v>24.45</v>
      </c>
      <c r="P31" s="22" t="s">
        <v>212</v>
      </c>
      <c r="Q31" s="95" t="s">
        <v>274</v>
      </c>
      <c r="R31" s="26"/>
      <c r="S31" s="1"/>
      <c r="T31" s="1"/>
    </row>
    <row r="32" spans="1:20" x14ac:dyDescent="0.3">
      <c r="A32" s="3">
        <v>28</v>
      </c>
      <c r="B32" s="9" t="s">
        <v>390</v>
      </c>
      <c r="C32" s="7" t="s">
        <v>18</v>
      </c>
      <c r="D32" s="9" t="s">
        <v>40</v>
      </c>
      <c r="E32" s="7" t="s">
        <v>218</v>
      </c>
      <c r="F32" s="14">
        <v>351967239825</v>
      </c>
      <c r="G32" s="68" t="s">
        <v>41</v>
      </c>
      <c r="H32" s="9" t="s">
        <v>42</v>
      </c>
      <c r="I32" s="9"/>
      <c r="J32" s="9" t="s">
        <v>23</v>
      </c>
      <c r="K32" s="22">
        <v>25</v>
      </c>
      <c r="L32" s="31">
        <v>0</v>
      </c>
      <c r="M32" s="30" t="s">
        <v>148</v>
      </c>
      <c r="N32" s="52" t="s">
        <v>148</v>
      </c>
      <c r="O32" s="60">
        <v>24.45</v>
      </c>
      <c r="P32" s="22" t="s">
        <v>212</v>
      </c>
      <c r="Q32" s="95" t="s">
        <v>275</v>
      </c>
      <c r="R32" s="26"/>
      <c r="S32" s="1"/>
      <c r="T32" s="1"/>
    </row>
    <row r="33" spans="1:20" x14ac:dyDescent="0.3">
      <c r="A33" s="3">
        <v>29</v>
      </c>
      <c r="B33" s="9" t="s">
        <v>43</v>
      </c>
      <c r="C33" s="2" t="s">
        <v>18</v>
      </c>
      <c r="D33" s="1" t="s">
        <v>44</v>
      </c>
      <c r="E33" s="1"/>
      <c r="F33" s="12">
        <v>19197490237</v>
      </c>
      <c r="G33" s="68" t="s">
        <v>45</v>
      </c>
      <c r="H33" s="2" t="s">
        <v>39</v>
      </c>
      <c r="I33" s="2"/>
      <c r="J33" s="9" t="s">
        <v>23</v>
      </c>
      <c r="K33" s="22">
        <v>28.23</v>
      </c>
      <c r="L33" s="31">
        <v>23.34</v>
      </c>
      <c r="M33" s="30" t="s">
        <v>200</v>
      </c>
      <c r="N33" s="53" t="s">
        <v>210</v>
      </c>
      <c r="O33" s="60">
        <v>23.45</v>
      </c>
      <c r="P33" s="22" t="s">
        <v>212</v>
      </c>
      <c r="Q33" s="95" t="s">
        <v>276</v>
      </c>
      <c r="R33" s="26"/>
      <c r="S33" s="1"/>
      <c r="T33" s="1"/>
    </row>
    <row r="34" spans="1:20" x14ac:dyDescent="0.3">
      <c r="A34" s="3">
        <v>30</v>
      </c>
      <c r="B34" s="9" t="s">
        <v>48</v>
      </c>
      <c r="C34" s="2" t="s">
        <v>18</v>
      </c>
      <c r="D34" s="1" t="s">
        <v>49</v>
      </c>
      <c r="E34" s="2">
        <v>5102090</v>
      </c>
      <c r="F34" s="12">
        <v>5511999102855</v>
      </c>
      <c r="G34" s="69" t="s">
        <v>50</v>
      </c>
      <c r="H34" s="1" t="s">
        <v>20</v>
      </c>
      <c r="I34" s="1"/>
      <c r="J34" s="9" t="s">
        <v>23</v>
      </c>
      <c r="K34" s="22">
        <v>25</v>
      </c>
      <c r="L34" s="31">
        <v>20.46</v>
      </c>
      <c r="M34" s="30" t="s">
        <v>200</v>
      </c>
      <c r="N34" s="53" t="s">
        <v>210</v>
      </c>
      <c r="O34" s="60">
        <v>19.989999999999998</v>
      </c>
      <c r="P34" s="22" t="s">
        <v>212</v>
      </c>
      <c r="Q34" s="95" t="s">
        <v>277</v>
      </c>
      <c r="R34" s="26"/>
      <c r="S34" s="1"/>
      <c r="T34" s="1"/>
    </row>
    <row r="35" spans="1:20" x14ac:dyDescent="0.3">
      <c r="A35" s="3">
        <v>31</v>
      </c>
      <c r="B35" s="63" t="s">
        <v>51</v>
      </c>
      <c r="C35" s="2" t="s">
        <v>18</v>
      </c>
      <c r="D35" s="1" t="s">
        <v>52</v>
      </c>
      <c r="E35" s="1"/>
      <c r="F35" s="12">
        <v>5591982597033</v>
      </c>
      <c r="G35" s="68" t="s">
        <v>53</v>
      </c>
      <c r="H35" s="1" t="s">
        <v>20</v>
      </c>
      <c r="I35" s="1"/>
      <c r="J35" s="9" t="s">
        <v>23</v>
      </c>
      <c r="K35" s="22">
        <v>23.33</v>
      </c>
      <c r="L35" s="31">
        <v>20.68</v>
      </c>
      <c r="M35" s="30" t="s">
        <v>200</v>
      </c>
      <c r="N35" s="53" t="s">
        <v>210</v>
      </c>
      <c r="O35" s="115"/>
      <c r="P35" s="22"/>
      <c r="Q35" s="118"/>
      <c r="R35" s="26"/>
      <c r="S35" s="1"/>
      <c r="T35" s="1"/>
    </row>
    <row r="36" spans="1:20" x14ac:dyDescent="0.3">
      <c r="A36" s="3">
        <v>32</v>
      </c>
      <c r="B36" s="66" t="s">
        <v>160</v>
      </c>
      <c r="C36" s="2" t="s">
        <v>18</v>
      </c>
      <c r="D36" s="1" t="s">
        <v>161</v>
      </c>
      <c r="E36" s="2">
        <v>29102010</v>
      </c>
      <c r="F36" s="12">
        <v>27992345001</v>
      </c>
      <c r="G36" s="68" t="s">
        <v>162</v>
      </c>
      <c r="H36" s="9" t="s">
        <v>20</v>
      </c>
      <c r="I36" s="9"/>
      <c r="J36" s="9" t="s">
        <v>23</v>
      </c>
      <c r="K36" s="23"/>
      <c r="L36" s="31">
        <v>20.05</v>
      </c>
      <c r="M36" s="30" t="s">
        <v>200</v>
      </c>
      <c r="N36" s="53" t="s">
        <v>210</v>
      </c>
      <c r="O36" s="60">
        <v>20.12</v>
      </c>
      <c r="P36" s="22" t="s">
        <v>212</v>
      </c>
      <c r="Q36" s="95" t="s">
        <v>278</v>
      </c>
      <c r="R36" s="26"/>
      <c r="S36" s="1"/>
      <c r="T36" s="1"/>
    </row>
    <row r="37" spans="1:20" x14ac:dyDescent="0.3">
      <c r="A37" s="25"/>
      <c r="B37" s="38" t="s">
        <v>54</v>
      </c>
      <c r="C37" s="25" t="s">
        <v>18</v>
      </c>
      <c r="D37" s="38" t="s">
        <v>55</v>
      </c>
      <c r="E37" s="38"/>
      <c r="F37" s="39">
        <v>5548999727373</v>
      </c>
      <c r="G37" s="38" t="s">
        <v>56</v>
      </c>
      <c r="H37" s="38" t="s">
        <v>20</v>
      </c>
      <c r="I37" s="38"/>
      <c r="J37" s="38" t="s">
        <v>23</v>
      </c>
      <c r="K37" s="41">
        <v>25</v>
      </c>
      <c r="L37" s="32"/>
      <c r="M37" s="33"/>
      <c r="N37" s="54"/>
      <c r="O37" s="59"/>
      <c r="P37" s="41"/>
      <c r="Q37" s="97"/>
      <c r="R37" s="26"/>
      <c r="S37" s="1"/>
      <c r="T37" s="1"/>
    </row>
    <row r="38" spans="1:20" x14ac:dyDescent="0.3">
      <c r="A38" s="3">
        <v>33</v>
      </c>
      <c r="B38" s="9" t="s">
        <v>319</v>
      </c>
      <c r="C38" s="2" t="s">
        <v>18</v>
      </c>
      <c r="D38" t="s">
        <v>320</v>
      </c>
      <c r="E38" s="7" t="s">
        <v>321</v>
      </c>
      <c r="F38" s="14">
        <v>351963638410</v>
      </c>
      <c r="G38" s="69" t="s">
        <v>322</v>
      </c>
      <c r="H38" s="9" t="s">
        <v>42</v>
      </c>
      <c r="I38" s="9"/>
      <c r="J38" s="9" t="s">
        <v>23</v>
      </c>
      <c r="K38" s="23"/>
      <c r="L38" s="31"/>
      <c r="M38" s="48" t="s">
        <v>200</v>
      </c>
      <c r="N38" s="55"/>
      <c r="O38" s="60">
        <v>24.37</v>
      </c>
      <c r="P38" s="23" t="s">
        <v>214</v>
      </c>
      <c r="Q38" s="95" t="s">
        <v>323</v>
      </c>
      <c r="R38" s="26"/>
      <c r="S38" s="1"/>
      <c r="T38" s="1"/>
    </row>
    <row r="39" spans="1:20" x14ac:dyDescent="0.3">
      <c r="A39" s="3">
        <v>34</v>
      </c>
      <c r="B39" s="9" t="s">
        <v>149</v>
      </c>
      <c r="C39" s="2" t="s">
        <v>18</v>
      </c>
      <c r="D39" s="1" t="s">
        <v>57</v>
      </c>
      <c r="E39" s="2" t="s">
        <v>243</v>
      </c>
      <c r="F39" s="12">
        <v>5561981839903</v>
      </c>
      <c r="G39" s="68" t="s">
        <v>58</v>
      </c>
      <c r="H39" s="1" t="s">
        <v>20</v>
      </c>
      <c r="I39" s="1"/>
      <c r="J39" s="9" t="s">
        <v>23</v>
      </c>
      <c r="K39" s="22">
        <v>25</v>
      </c>
      <c r="L39" s="29">
        <v>21.05</v>
      </c>
      <c r="M39" s="30" t="s">
        <v>200</v>
      </c>
      <c r="N39" s="53" t="s">
        <v>210</v>
      </c>
      <c r="O39" s="60">
        <v>20.34</v>
      </c>
      <c r="P39" s="22" t="s">
        <v>212</v>
      </c>
      <c r="Q39" s="95" t="s">
        <v>279</v>
      </c>
      <c r="R39" s="26"/>
      <c r="S39" s="1"/>
      <c r="T39" s="1"/>
    </row>
    <row r="40" spans="1:20" x14ac:dyDescent="0.3">
      <c r="A40" s="3">
        <v>35</v>
      </c>
      <c r="B40" s="9" t="s">
        <v>82</v>
      </c>
      <c r="C40" s="2" t="s">
        <v>18</v>
      </c>
      <c r="D40" s="1" t="s">
        <v>248</v>
      </c>
      <c r="E40" s="2" t="s">
        <v>244</v>
      </c>
      <c r="F40" s="12">
        <v>33787599204</v>
      </c>
      <c r="G40" s="68" t="s">
        <v>59</v>
      </c>
      <c r="H40" s="1" t="s">
        <v>60</v>
      </c>
      <c r="I40" s="1"/>
      <c r="J40" s="9" t="s">
        <v>23</v>
      </c>
      <c r="K40" s="22">
        <v>24.37</v>
      </c>
      <c r="L40" s="29">
        <v>24.37</v>
      </c>
      <c r="M40" s="30" t="s">
        <v>200</v>
      </c>
      <c r="N40" s="53" t="s">
        <v>210</v>
      </c>
      <c r="O40" s="60">
        <v>24.37</v>
      </c>
      <c r="P40" s="22" t="s">
        <v>212</v>
      </c>
      <c r="Q40" s="95" t="s">
        <v>280</v>
      </c>
      <c r="R40" s="26"/>
      <c r="S40" s="1"/>
      <c r="T40" s="1"/>
    </row>
    <row r="41" spans="1:20" x14ac:dyDescent="0.3">
      <c r="A41" s="3">
        <v>36</v>
      </c>
      <c r="B41" s="9" t="s">
        <v>61</v>
      </c>
      <c r="C41" s="2" t="s">
        <v>18</v>
      </c>
      <c r="D41" s="1" t="s">
        <v>245</v>
      </c>
      <c r="E41" s="2" t="s">
        <v>244</v>
      </c>
      <c r="F41" s="12">
        <v>33787599585</v>
      </c>
      <c r="G41" s="68" t="s">
        <v>62</v>
      </c>
      <c r="H41" s="1" t="s">
        <v>60</v>
      </c>
      <c r="I41" s="1"/>
      <c r="J41" s="9" t="s">
        <v>23</v>
      </c>
      <c r="K41" s="22">
        <v>24.37</v>
      </c>
      <c r="L41" s="29">
        <v>24.37</v>
      </c>
      <c r="M41" s="30" t="s">
        <v>200</v>
      </c>
      <c r="N41" s="53" t="s">
        <v>210</v>
      </c>
      <c r="O41" s="60">
        <v>24.37</v>
      </c>
      <c r="P41" s="22" t="s">
        <v>212</v>
      </c>
      <c r="Q41" s="95" t="s">
        <v>281</v>
      </c>
      <c r="R41" s="26"/>
      <c r="S41" s="1"/>
      <c r="T41" s="1"/>
    </row>
    <row r="42" spans="1:20" x14ac:dyDescent="0.3">
      <c r="A42" s="3">
        <v>37</v>
      </c>
      <c r="B42" s="66" t="s">
        <v>63</v>
      </c>
      <c r="C42" s="2" t="s">
        <v>18</v>
      </c>
      <c r="D42" s="1" t="s">
        <v>63</v>
      </c>
      <c r="E42" s="2" t="s">
        <v>217</v>
      </c>
      <c r="F42" s="12" t="s">
        <v>64</v>
      </c>
      <c r="G42" s="69" t="s">
        <v>65</v>
      </c>
      <c r="H42" s="1" t="s">
        <v>42</v>
      </c>
      <c r="I42" s="1"/>
      <c r="J42" s="9" t="s">
        <v>23</v>
      </c>
      <c r="K42" s="22">
        <v>24.37</v>
      </c>
      <c r="L42" s="31">
        <v>25</v>
      </c>
      <c r="M42" s="30" t="s">
        <v>200</v>
      </c>
      <c r="N42" s="53" t="s">
        <v>210</v>
      </c>
      <c r="O42" s="60">
        <v>24.37</v>
      </c>
      <c r="P42" s="22" t="s">
        <v>212</v>
      </c>
      <c r="Q42" s="95" t="s">
        <v>282</v>
      </c>
      <c r="R42" s="26"/>
      <c r="S42" s="1"/>
      <c r="T42" s="1"/>
    </row>
    <row r="43" spans="1:20" x14ac:dyDescent="0.3">
      <c r="A43" s="25"/>
      <c r="B43" s="38" t="s">
        <v>66</v>
      </c>
      <c r="C43" s="25" t="s">
        <v>18</v>
      </c>
      <c r="D43" s="38" t="s">
        <v>67</v>
      </c>
      <c r="E43" s="38"/>
      <c r="F43" s="42">
        <v>82982237903</v>
      </c>
      <c r="G43" s="40" t="s">
        <v>68</v>
      </c>
      <c r="H43" s="38" t="s">
        <v>20</v>
      </c>
      <c r="I43" s="38"/>
      <c r="J43" s="38"/>
      <c r="K43" s="41">
        <v>25</v>
      </c>
      <c r="L43" s="32"/>
      <c r="M43" s="33"/>
      <c r="N43" s="54"/>
      <c r="O43" s="59"/>
      <c r="P43" s="41"/>
      <c r="Q43" s="97"/>
      <c r="R43" s="26"/>
      <c r="S43" s="1"/>
      <c r="T43" s="1"/>
    </row>
    <row r="44" spans="1:20" x14ac:dyDescent="0.3">
      <c r="A44" s="7">
        <v>38</v>
      </c>
      <c r="B44" s="9"/>
      <c r="C44" s="7"/>
      <c r="D44" s="9"/>
      <c r="E44" s="9"/>
      <c r="F44" s="17"/>
      <c r="G44" s="68"/>
      <c r="H44" s="9"/>
      <c r="I44" s="9"/>
      <c r="J44" s="9"/>
      <c r="K44" s="23"/>
      <c r="L44" s="31"/>
      <c r="M44" s="48"/>
      <c r="N44" s="55"/>
      <c r="O44" s="57"/>
      <c r="P44" s="22"/>
      <c r="Q44" s="26"/>
      <c r="R44" s="26"/>
      <c r="S44" s="1"/>
      <c r="T44" s="1"/>
    </row>
    <row r="45" spans="1:20" x14ac:dyDescent="0.3">
      <c r="A45" s="3">
        <v>39</v>
      </c>
      <c r="B45" s="9" t="s">
        <v>69</v>
      </c>
      <c r="C45" s="2" t="s">
        <v>18</v>
      </c>
      <c r="D45" s="1" t="s">
        <v>230</v>
      </c>
      <c r="E45" s="2" t="s">
        <v>229</v>
      </c>
      <c r="F45" s="13" t="s">
        <v>70</v>
      </c>
      <c r="G45" s="68" t="s">
        <v>71</v>
      </c>
      <c r="H45" s="1" t="s">
        <v>42</v>
      </c>
      <c r="I45" s="1"/>
      <c r="J45" s="9" t="s">
        <v>23</v>
      </c>
      <c r="K45" s="22">
        <v>24.37</v>
      </c>
      <c r="L45" s="29">
        <v>23.77</v>
      </c>
      <c r="M45" s="30" t="s">
        <v>200</v>
      </c>
      <c r="N45" s="53" t="s">
        <v>210</v>
      </c>
      <c r="O45" s="60">
        <v>24.45</v>
      </c>
      <c r="P45" s="22" t="s">
        <v>212</v>
      </c>
      <c r="Q45" s="95" t="s">
        <v>283</v>
      </c>
      <c r="R45" s="26"/>
      <c r="S45" s="1"/>
      <c r="T45" s="1"/>
    </row>
    <row r="46" spans="1:20" x14ac:dyDescent="0.3">
      <c r="A46" s="3">
        <v>40</v>
      </c>
      <c r="B46" s="9" t="s">
        <v>72</v>
      </c>
      <c r="C46" s="2" t="s">
        <v>18</v>
      </c>
      <c r="D46" s="1" t="s">
        <v>73</v>
      </c>
      <c r="E46" s="2" t="s">
        <v>242</v>
      </c>
      <c r="F46" s="12">
        <v>914795682</v>
      </c>
      <c r="G46" s="69" t="s">
        <v>74</v>
      </c>
      <c r="H46" s="1" t="s">
        <v>42</v>
      </c>
      <c r="I46" s="1"/>
      <c r="J46" s="9" t="s">
        <v>23</v>
      </c>
      <c r="K46" s="22">
        <v>24.37</v>
      </c>
      <c r="L46" s="29">
        <f>25-0.63</f>
        <v>24.37</v>
      </c>
      <c r="M46" s="30" t="s">
        <v>200</v>
      </c>
      <c r="N46" s="53" t="s">
        <v>210</v>
      </c>
      <c r="O46" s="60">
        <v>24.37</v>
      </c>
      <c r="P46" s="22" t="s">
        <v>212</v>
      </c>
      <c r="Q46" s="95" t="s">
        <v>284</v>
      </c>
      <c r="R46" s="26"/>
      <c r="S46" s="1"/>
      <c r="T46" s="1"/>
    </row>
    <row r="47" spans="1:20" x14ac:dyDescent="0.3">
      <c r="A47" s="3">
        <v>41</v>
      </c>
      <c r="B47" s="63" t="s">
        <v>75</v>
      </c>
      <c r="C47" s="7" t="s">
        <v>18</v>
      </c>
      <c r="D47" s="9" t="s">
        <v>76</v>
      </c>
      <c r="E47" s="9"/>
      <c r="F47" s="14">
        <v>85987709223</v>
      </c>
      <c r="G47" s="69" t="s">
        <v>77</v>
      </c>
      <c r="H47" s="17" t="s">
        <v>20</v>
      </c>
      <c r="I47" s="17"/>
      <c r="J47" s="9"/>
      <c r="K47" s="22">
        <v>23.33</v>
      </c>
      <c r="L47" s="31">
        <v>20.81</v>
      </c>
      <c r="M47" s="30" t="s">
        <v>200</v>
      </c>
      <c r="N47" s="53" t="s">
        <v>210</v>
      </c>
      <c r="O47" s="115"/>
      <c r="P47" s="22"/>
      <c r="Q47" s="95"/>
      <c r="R47" s="26"/>
      <c r="S47" s="1"/>
      <c r="T47" s="1"/>
    </row>
    <row r="48" spans="1:20" x14ac:dyDescent="0.3">
      <c r="A48" s="4">
        <v>42</v>
      </c>
      <c r="B48" s="75" t="s">
        <v>78</v>
      </c>
      <c r="C48" s="6" t="s">
        <v>18</v>
      </c>
      <c r="D48" s="5" t="s">
        <v>79</v>
      </c>
      <c r="E48" s="6" t="s">
        <v>226</v>
      </c>
      <c r="F48" s="15" t="s">
        <v>80</v>
      </c>
      <c r="G48" s="72" t="s">
        <v>81</v>
      </c>
      <c r="H48" s="5" t="s">
        <v>20</v>
      </c>
      <c r="I48" s="5"/>
      <c r="J48" s="9" t="s">
        <v>23</v>
      </c>
      <c r="K48" s="22">
        <v>23.33</v>
      </c>
      <c r="L48" s="29">
        <v>21.06</v>
      </c>
      <c r="M48" s="30" t="s">
        <v>200</v>
      </c>
      <c r="N48" s="53" t="s">
        <v>210</v>
      </c>
      <c r="O48" s="60">
        <v>25</v>
      </c>
      <c r="P48" s="22" t="s">
        <v>214</v>
      </c>
      <c r="Q48" s="95" t="s">
        <v>285</v>
      </c>
      <c r="R48" s="26"/>
      <c r="S48" s="1"/>
      <c r="T48" s="1"/>
    </row>
    <row r="49" spans="1:21" x14ac:dyDescent="0.3">
      <c r="A49" s="3">
        <v>43</v>
      </c>
      <c r="B49" s="9" t="s">
        <v>84</v>
      </c>
      <c r="C49" s="2" t="s">
        <v>18</v>
      </c>
      <c r="D49" s="1" t="s">
        <v>85</v>
      </c>
      <c r="E49" s="2" t="s">
        <v>241</v>
      </c>
      <c r="F49" s="16">
        <v>351917276398</v>
      </c>
      <c r="G49" s="68" t="s">
        <v>83</v>
      </c>
      <c r="H49" s="1" t="s">
        <v>42</v>
      </c>
      <c r="I49" s="1"/>
      <c r="J49" s="9" t="s">
        <v>23</v>
      </c>
      <c r="K49" s="22">
        <v>25</v>
      </c>
      <c r="L49" s="29">
        <v>24.37</v>
      </c>
      <c r="M49" s="30" t="s">
        <v>200</v>
      </c>
      <c r="N49" s="53" t="s">
        <v>210</v>
      </c>
      <c r="O49" s="60">
        <v>24.37</v>
      </c>
      <c r="P49" s="22" t="s">
        <v>212</v>
      </c>
      <c r="Q49" s="95" t="s">
        <v>286</v>
      </c>
      <c r="R49" s="26"/>
      <c r="S49" s="1"/>
      <c r="T49" s="1"/>
    </row>
    <row r="50" spans="1:21" x14ac:dyDescent="0.3">
      <c r="A50" s="3">
        <v>44</v>
      </c>
      <c r="B50" s="9" t="s">
        <v>87</v>
      </c>
      <c r="C50" s="2" t="s">
        <v>18</v>
      </c>
      <c r="D50" s="1" t="s">
        <v>88</v>
      </c>
      <c r="E50" s="2" t="s">
        <v>240</v>
      </c>
      <c r="F50" s="13">
        <v>916617407</v>
      </c>
      <c r="G50" s="68" t="s">
        <v>89</v>
      </c>
      <c r="H50" s="1" t="s">
        <v>42</v>
      </c>
      <c r="I50" s="1"/>
      <c r="J50" s="9" t="s">
        <v>23</v>
      </c>
      <c r="K50" s="22">
        <v>25</v>
      </c>
      <c r="L50" s="31">
        <v>24.37</v>
      </c>
      <c r="M50" s="30" t="s">
        <v>200</v>
      </c>
      <c r="N50" s="53" t="s">
        <v>210</v>
      </c>
      <c r="O50" s="60">
        <v>24.37</v>
      </c>
      <c r="P50" s="22" t="s">
        <v>212</v>
      </c>
      <c r="Q50" s="95" t="s">
        <v>287</v>
      </c>
      <c r="R50" s="26"/>
      <c r="S50" s="1"/>
      <c r="T50" s="1"/>
    </row>
    <row r="51" spans="1:21" x14ac:dyDescent="0.3">
      <c r="A51" s="3">
        <v>45</v>
      </c>
      <c r="B51" s="66" t="s">
        <v>91</v>
      </c>
      <c r="C51" s="2" t="s">
        <v>18</v>
      </c>
      <c r="D51" s="1" t="s">
        <v>220</v>
      </c>
      <c r="E51" s="2" t="s">
        <v>219</v>
      </c>
      <c r="F51" s="13">
        <v>42999463782</v>
      </c>
      <c r="G51" s="68" t="s">
        <v>92</v>
      </c>
      <c r="H51" s="1" t="s">
        <v>20</v>
      </c>
      <c r="I51" s="1"/>
      <c r="J51" s="9" t="s">
        <v>23</v>
      </c>
      <c r="K51" s="22">
        <v>25</v>
      </c>
      <c r="L51" s="31">
        <v>25</v>
      </c>
      <c r="M51" s="30" t="s">
        <v>198</v>
      </c>
      <c r="N51" s="52" t="s">
        <v>148</v>
      </c>
      <c r="O51" s="60">
        <v>19.98</v>
      </c>
      <c r="P51" s="22" t="s">
        <v>212</v>
      </c>
      <c r="Q51" s="95" t="s">
        <v>288</v>
      </c>
      <c r="R51" s="26"/>
      <c r="S51" s="1"/>
      <c r="T51" s="1"/>
    </row>
    <row r="52" spans="1:21" x14ac:dyDescent="0.3">
      <c r="A52" s="3">
        <v>46</v>
      </c>
      <c r="B52" s="66" t="s">
        <v>93</v>
      </c>
      <c r="C52" s="2" t="s">
        <v>18</v>
      </c>
      <c r="D52" s="1" t="s">
        <v>94</v>
      </c>
      <c r="E52" s="2" t="s">
        <v>239</v>
      </c>
      <c r="F52" s="12">
        <v>5511966620545</v>
      </c>
      <c r="G52" s="68" t="s">
        <v>95</v>
      </c>
      <c r="H52" s="1" t="s">
        <v>20</v>
      </c>
      <c r="I52" s="1"/>
      <c r="J52" s="9" t="s">
        <v>23</v>
      </c>
      <c r="K52" s="22">
        <v>24.56</v>
      </c>
      <c r="L52" s="29">
        <v>21.07</v>
      </c>
      <c r="M52" s="30" t="s">
        <v>200</v>
      </c>
      <c r="N52" s="53" t="s">
        <v>210</v>
      </c>
      <c r="O52" s="60">
        <v>20.12</v>
      </c>
      <c r="P52" s="22" t="s">
        <v>212</v>
      </c>
      <c r="Q52" s="95" t="s">
        <v>289</v>
      </c>
      <c r="R52" s="26"/>
      <c r="S52" s="1"/>
      <c r="T52" s="1"/>
    </row>
    <row r="53" spans="1:21" x14ac:dyDescent="0.3">
      <c r="A53" s="3">
        <v>47</v>
      </c>
      <c r="B53" s="9" t="s">
        <v>96</v>
      </c>
      <c r="C53" s="2" t="s">
        <v>18</v>
      </c>
      <c r="D53" s="1" t="s">
        <v>225</v>
      </c>
      <c r="E53" s="2" t="s">
        <v>224</v>
      </c>
      <c r="F53" s="13" t="s">
        <v>97</v>
      </c>
      <c r="G53" s="68" t="s">
        <v>98</v>
      </c>
      <c r="H53" s="1" t="s">
        <v>20</v>
      </c>
      <c r="I53" s="1"/>
      <c r="J53" s="9" t="s">
        <v>23</v>
      </c>
      <c r="K53" s="22">
        <v>24.56</v>
      </c>
      <c r="L53" s="29">
        <v>21.15</v>
      </c>
      <c r="M53" s="30" t="s">
        <v>200</v>
      </c>
      <c r="N53" s="53" t="s">
        <v>210</v>
      </c>
      <c r="O53" s="60">
        <v>19.899999999999999</v>
      </c>
      <c r="P53" s="22" t="s">
        <v>212</v>
      </c>
      <c r="Q53" s="95" t="s">
        <v>290</v>
      </c>
      <c r="R53" s="56">
        <v>19.899999999999999</v>
      </c>
      <c r="S53" s="1" t="s">
        <v>213</v>
      </c>
      <c r="T53" s="1"/>
      <c r="U53" t="s">
        <v>305</v>
      </c>
    </row>
    <row r="54" spans="1:21" x14ac:dyDescent="0.3">
      <c r="A54" s="25"/>
      <c r="B54" s="38" t="s">
        <v>99</v>
      </c>
      <c r="C54" s="25" t="s">
        <v>18</v>
      </c>
      <c r="D54" s="38" t="s">
        <v>100</v>
      </c>
      <c r="E54" s="38"/>
      <c r="F54" s="42">
        <v>7997910444</v>
      </c>
      <c r="G54" s="40" t="s">
        <v>101</v>
      </c>
      <c r="H54" s="38" t="s">
        <v>20</v>
      </c>
      <c r="I54" s="38"/>
      <c r="J54" s="38" t="s">
        <v>23</v>
      </c>
      <c r="K54" s="41">
        <v>24.56</v>
      </c>
      <c r="L54" s="32"/>
      <c r="M54" s="33"/>
      <c r="N54" s="54"/>
      <c r="O54" s="59"/>
      <c r="P54" s="41"/>
      <c r="Q54" s="97"/>
      <c r="R54" s="26"/>
      <c r="S54" s="1"/>
      <c r="T54" s="1"/>
    </row>
    <row r="55" spans="1:21" x14ac:dyDescent="0.3">
      <c r="A55" s="49">
        <v>48</v>
      </c>
      <c r="B55" s="19"/>
      <c r="C55" s="50"/>
      <c r="D55" s="19"/>
      <c r="E55" s="19"/>
      <c r="F55" s="51"/>
      <c r="G55" s="73"/>
      <c r="H55" s="19"/>
      <c r="I55" s="19"/>
      <c r="J55" s="19"/>
      <c r="K55" s="23"/>
      <c r="L55" s="31"/>
      <c r="M55" s="48"/>
      <c r="N55" s="55"/>
      <c r="O55" s="58"/>
      <c r="P55" s="23"/>
      <c r="Q55" s="26"/>
      <c r="R55" s="26"/>
      <c r="S55" s="1"/>
      <c r="T55" s="1"/>
    </row>
    <row r="56" spans="1:21" x14ac:dyDescent="0.3">
      <c r="A56" s="4">
        <v>49</v>
      </c>
      <c r="B56" s="75" t="s">
        <v>102</v>
      </c>
      <c r="C56" s="6" t="s">
        <v>18</v>
      </c>
      <c r="D56" s="5" t="s">
        <v>104</v>
      </c>
      <c r="E56" s="6" t="s">
        <v>342</v>
      </c>
      <c r="F56" s="15">
        <v>913595430</v>
      </c>
      <c r="G56" s="72" t="s">
        <v>103</v>
      </c>
      <c r="H56" s="5" t="s">
        <v>42</v>
      </c>
      <c r="I56" s="5"/>
      <c r="J56" s="19" t="s">
        <v>23</v>
      </c>
      <c r="K56" s="22"/>
      <c r="L56" s="29">
        <v>25</v>
      </c>
      <c r="M56" s="30" t="s">
        <v>200</v>
      </c>
      <c r="N56" s="53" t="s">
        <v>210</v>
      </c>
      <c r="O56" s="60">
        <v>25</v>
      </c>
      <c r="P56" s="22" t="s">
        <v>214</v>
      </c>
      <c r="Q56" s="79" t="s">
        <v>406</v>
      </c>
      <c r="R56" s="26"/>
      <c r="S56" s="1"/>
      <c r="T56" s="1"/>
    </row>
    <row r="57" spans="1:21" x14ac:dyDescent="0.3">
      <c r="A57" s="3">
        <v>50</v>
      </c>
      <c r="B57" s="1" t="s">
        <v>105</v>
      </c>
      <c r="C57" s="2" t="s">
        <v>18</v>
      </c>
      <c r="D57" s="1" t="s">
        <v>106</v>
      </c>
      <c r="E57" s="2" t="s">
        <v>238</v>
      </c>
      <c r="F57" s="13" t="s">
        <v>108</v>
      </c>
      <c r="G57" s="68" t="s">
        <v>107</v>
      </c>
      <c r="H57" s="1" t="s">
        <v>109</v>
      </c>
      <c r="I57" s="1"/>
      <c r="J57" s="9" t="s">
        <v>23</v>
      </c>
      <c r="K57" s="22"/>
      <c r="L57" s="29">
        <v>23.94</v>
      </c>
      <c r="M57" s="30" t="s">
        <v>200</v>
      </c>
      <c r="N57" s="53" t="s">
        <v>210</v>
      </c>
      <c r="O57" s="60">
        <v>25</v>
      </c>
      <c r="P57" s="56" t="s">
        <v>200</v>
      </c>
      <c r="Q57" s="95" t="s">
        <v>291</v>
      </c>
      <c r="R57" s="26"/>
      <c r="S57" s="1"/>
      <c r="T57" s="1"/>
    </row>
    <row r="58" spans="1:21" x14ac:dyDescent="0.3">
      <c r="A58" s="4">
        <v>51</v>
      </c>
      <c r="B58" s="1" t="s">
        <v>110</v>
      </c>
      <c r="C58" s="6" t="s">
        <v>18</v>
      </c>
      <c r="D58" s="5" t="s">
        <v>111</v>
      </c>
      <c r="E58" s="78">
        <v>58303385</v>
      </c>
      <c r="F58" s="15" t="s">
        <v>112</v>
      </c>
      <c r="G58" s="72" t="s">
        <v>113</v>
      </c>
      <c r="H58" s="5" t="s">
        <v>20</v>
      </c>
      <c r="I58" s="5"/>
      <c r="J58" s="19" t="s">
        <v>23</v>
      </c>
      <c r="K58" s="22"/>
      <c r="L58" s="29">
        <v>23.33</v>
      </c>
      <c r="M58" s="30" t="s">
        <v>198</v>
      </c>
      <c r="N58" s="52" t="s">
        <v>148</v>
      </c>
      <c r="O58" s="60">
        <v>20.04</v>
      </c>
      <c r="P58" s="22" t="s">
        <v>200</v>
      </c>
      <c r="Q58" s="95" t="s">
        <v>292</v>
      </c>
      <c r="R58" s="26"/>
      <c r="S58" s="1"/>
      <c r="T58" s="1"/>
    </row>
    <row r="59" spans="1:21" x14ac:dyDescent="0.3">
      <c r="A59" s="3">
        <v>52</v>
      </c>
      <c r="B59" t="s">
        <v>114</v>
      </c>
      <c r="C59" s="2" t="s">
        <v>18</v>
      </c>
      <c r="D59" s="1" t="s">
        <v>115</v>
      </c>
      <c r="E59" s="2">
        <v>58038491</v>
      </c>
      <c r="F59" s="13">
        <v>83988990612</v>
      </c>
      <c r="G59" s="69" t="s">
        <v>116</v>
      </c>
      <c r="H59" s="1" t="s">
        <v>20</v>
      </c>
      <c r="I59" s="5"/>
      <c r="J59" s="19" t="s">
        <v>23</v>
      </c>
      <c r="K59" s="22"/>
      <c r="L59" s="29">
        <v>25</v>
      </c>
      <c r="M59" s="30" t="s">
        <v>198</v>
      </c>
      <c r="N59" s="52" t="s">
        <v>148</v>
      </c>
      <c r="O59" s="60">
        <v>19.899999999999999</v>
      </c>
      <c r="P59" s="22" t="s">
        <v>200</v>
      </c>
      <c r="Q59" s="95" t="s">
        <v>293</v>
      </c>
      <c r="R59" s="26"/>
      <c r="S59" s="1"/>
      <c r="T59" s="1"/>
    </row>
    <row r="60" spans="1:21" x14ac:dyDescent="0.3">
      <c r="A60" s="8">
        <v>53</v>
      </c>
      <c r="B60" s="67" t="s">
        <v>117</v>
      </c>
      <c r="C60" s="6" t="s">
        <v>18</v>
      </c>
      <c r="D60" s="5" t="s">
        <v>118</v>
      </c>
      <c r="E60" s="6" t="s">
        <v>231</v>
      </c>
      <c r="F60" s="18">
        <v>5521966434668</v>
      </c>
      <c r="G60" s="73" t="s">
        <v>119</v>
      </c>
      <c r="H60" s="5" t="s">
        <v>20</v>
      </c>
      <c r="I60" s="5"/>
      <c r="J60" s="19" t="s">
        <v>23</v>
      </c>
      <c r="K60" s="22"/>
      <c r="L60" s="29">
        <v>25</v>
      </c>
      <c r="M60" s="30" t="s">
        <v>198</v>
      </c>
      <c r="N60" s="52" t="s">
        <v>148</v>
      </c>
      <c r="O60" s="60">
        <v>20.32</v>
      </c>
      <c r="P60" s="22" t="s">
        <v>200</v>
      </c>
      <c r="Q60" s="95" t="s">
        <v>294</v>
      </c>
      <c r="R60" s="26"/>
      <c r="S60" s="1"/>
      <c r="T60" s="1"/>
    </row>
    <row r="61" spans="1:21" x14ac:dyDescent="0.3">
      <c r="A61" s="8">
        <v>54</v>
      </c>
      <c r="B61" s="5" t="s">
        <v>122</v>
      </c>
      <c r="C61" s="6" t="s">
        <v>18</v>
      </c>
      <c r="D61" s="5" t="s">
        <v>123</v>
      </c>
      <c r="E61" s="5"/>
      <c r="F61" s="15">
        <v>911589991</v>
      </c>
      <c r="G61" s="73" t="s">
        <v>124</v>
      </c>
      <c r="H61" s="5" t="s">
        <v>42</v>
      </c>
      <c r="I61" s="5"/>
      <c r="J61" s="19" t="s">
        <v>23</v>
      </c>
      <c r="K61" s="22"/>
      <c r="L61" s="29">
        <v>25</v>
      </c>
      <c r="M61" s="30" t="s">
        <v>200</v>
      </c>
      <c r="N61" s="53" t="s">
        <v>210</v>
      </c>
      <c r="O61" s="60">
        <v>25</v>
      </c>
      <c r="P61" s="22" t="s">
        <v>214</v>
      </c>
      <c r="Q61" s="95" t="s">
        <v>307</v>
      </c>
      <c r="R61" s="26"/>
      <c r="S61" s="1"/>
      <c r="T61" s="1"/>
    </row>
    <row r="62" spans="1:21" x14ac:dyDescent="0.3">
      <c r="A62" s="8">
        <v>55</v>
      </c>
      <c r="B62" s="67" t="s">
        <v>128</v>
      </c>
      <c r="C62" s="6" t="s">
        <v>18</v>
      </c>
      <c r="D62" s="5" t="s">
        <v>129</v>
      </c>
      <c r="E62" s="6" t="s">
        <v>227</v>
      </c>
      <c r="F62" s="15" t="s">
        <v>130</v>
      </c>
      <c r="G62" s="73" t="s">
        <v>131</v>
      </c>
      <c r="H62" s="6" t="s">
        <v>20</v>
      </c>
      <c r="I62" s="6"/>
      <c r="J62" s="19" t="s">
        <v>23</v>
      </c>
      <c r="K62" s="22"/>
      <c r="L62" s="29">
        <v>25</v>
      </c>
      <c r="M62" s="30" t="s">
        <v>198</v>
      </c>
      <c r="N62" s="52" t="s">
        <v>148</v>
      </c>
      <c r="O62" s="60">
        <v>20</v>
      </c>
      <c r="P62" s="22" t="s">
        <v>200</v>
      </c>
      <c r="Q62" s="95" t="s">
        <v>295</v>
      </c>
      <c r="R62" s="26"/>
      <c r="S62" s="1"/>
      <c r="T62" s="1"/>
    </row>
    <row r="63" spans="1:21" x14ac:dyDescent="0.3">
      <c r="A63" s="3">
        <v>56</v>
      </c>
      <c r="B63" s="1" t="s">
        <v>132</v>
      </c>
      <c r="C63" s="2" t="s">
        <v>18</v>
      </c>
      <c r="D63" s="1" t="s">
        <v>133</v>
      </c>
      <c r="E63" s="77">
        <v>12230900</v>
      </c>
      <c r="F63" s="10">
        <v>12981282014</v>
      </c>
      <c r="G63" s="74" t="s">
        <v>134</v>
      </c>
      <c r="H63" s="1" t="s">
        <v>20</v>
      </c>
      <c r="I63" s="1"/>
      <c r="J63" s="9" t="s">
        <v>23</v>
      </c>
      <c r="K63" s="22"/>
      <c r="L63" s="29">
        <v>22.23</v>
      </c>
      <c r="M63" s="30" t="s">
        <v>200</v>
      </c>
      <c r="N63" s="53" t="s">
        <v>210</v>
      </c>
      <c r="O63" s="60">
        <v>20.37</v>
      </c>
      <c r="P63" s="22" t="s">
        <v>200</v>
      </c>
      <c r="Q63" s="95" t="s">
        <v>296</v>
      </c>
      <c r="R63" s="26"/>
      <c r="S63" s="1"/>
      <c r="T63" s="1"/>
    </row>
    <row r="64" spans="1:21" x14ac:dyDescent="0.3">
      <c r="A64" s="8">
        <v>57</v>
      </c>
      <c r="B64" s="1" t="s">
        <v>135</v>
      </c>
      <c r="C64" s="2" t="s">
        <v>18</v>
      </c>
      <c r="D64" s="1" t="s">
        <v>136</v>
      </c>
      <c r="E64" s="1"/>
      <c r="F64" s="13">
        <v>31999510350</v>
      </c>
      <c r="G64" s="73" t="s">
        <v>137</v>
      </c>
      <c r="H64" s="5" t="s">
        <v>20</v>
      </c>
      <c r="I64" s="5"/>
      <c r="J64" s="19" t="s">
        <v>23</v>
      </c>
      <c r="K64" s="22"/>
      <c r="L64" s="29">
        <v>22.11</v>
      </c>
      <c r="M64" s="30" t="s">
        <v>200</v>
      </c>
      <c r="N64" s="53" t="s">
        <v>210</v>
      </c>
      <c r="O64" s="60">
        <v>25.77</v>
      </c>
      <c r="P64" s="22" t="s">
        <v>214</v>
      </c>
      <c r="Q64" s="95" t="s">
        <v>297</v>
      </c>
      <c r="R64" s="26"/>
      <c r="S64" s="1"/>
      <c r="T64" s="1"/>
    </row>
    <row r="65" spans="1:20" x14ac:dyDescent="0.3">
      <c r="A65" s="3">
        <v>58</v>
      </c>
      <c r="B65" s="20" t="s">
        <v>163</v>
      </c>
      <c r="C65" s="2" t="s">
        <v>18</v>
      </c>
      <c r="D65" s="1" t="s">
        <v>259</v>
      </c>
      <c r="E65" s="2">
        <v>89221650</v>
      </c>
      <c r="F65" s="13"/>
      <c r="G65" s="71" t="s">
        <v>164</v>
      </c>
      <c r="H65" s="1" t="s">
        <v>20</v>
      </c>
      <c r="I65" s="1"/>
      <c r="J65" s="9"/>
      <c r="K65" s="22"/>
      <c r="L65" s="29">
        <v>20.05</v>
      </c>
      <c r="M65" s="30" t="s">
        <v>200</v>
      </c>
      <c r="N65" s="53" t="s">
        <v>210</v>
      </c>
      <c r="O65" s="60">
        <v>20.04</v>
      </c>
      <c r="P65" s="22" t="s">
        <v>200</v>
      </c>
      <c r="Q65" s="95" t="s">
        <v>298</v>
      </c>
      <c r="R65" s="26"/>
      <c r="S65" s="1"/>
      <c r="T65" s="1"/>
    </row>
    <row r="66" spans="1:20" x14ac:dyDescent="0.3">
      <c r="A66" s="3">
        <v>59</v>
      </c>
      <c r="B66" s="20" t="s">
        <v>165</v>
      </c>
      <c r="C66" s="2" t="s">
        <v>18</v>
      </c>
      <c r="D66" s="1" t="s">
        <v>257</v>
      </c>
      <c r="E66" s="2" t="s">
        <v>256</v>
      </c>
      <c r="F66" s="16">
        <v>351927189525</v>
      </c>
      <c r="G66" s="71" t="s">
        <v>166</v>
      </c>
      <c r="H66" s="1" t="s">
        <v>42</v>
      </c>
      <c r="I66" s="5"/>
      <c r="J66" s="19" t="s">
        <v>23</v>
      </c>
      <c r="K66" s="22"/>
      <c r="L66" s="29">
        <v>24.45</v>
      </c>
      <c r="M66" s="30" t="s">
        <v>200</v>
      </c>
      <c r="N66" s="53" t="s">
        <v>210</v>
      </c>
      <c r="O66" s="60">
        <v>24.45</v>
      </c>
      <c r="P66" s="22" t="s">
        <v>200</v>
      </c>
      <c r="Q66" s="95" t="s">
        <v>299</v>
      </c>
      <c r="R66" s="26"/>
      <c r="S66" s="1"/>
      <c r="T66" s="1"/>
    </row>
    <row r="67" spans="1:20" x14ac:dyDescent="0.3">
      <c r="A67" s="8">
        <v>60</v>
      </c>
      <c r="B67" s="5" t="s">
        <v>167</v>
      </c>
      <c r="C67" s="6" t="s">
        <v>18</v>
      </c>
      <c r="D67" s="5" t="s">
        <v>258</v>
      </c>
      <c r="E67" s="6">
        <v>60115080</v>
      </c>
      <c r="F67" s="15">
        <v>5585999954393</v>
      </c>
      <c r="G67" s="73" t="s">
        <v>168</v>
      </c>
      <c r="H67" s="5" t="s">
        <v>20</v>
      </c>
      <c r="I67" s="5"/>
      <c r="J67" s="19" t="s">
        <v>23</v>
      </c>
      <c r="K67" s="24"/>
      <c r="L67" s="29">
        <v>19.95</v>
      </c>
      <c r="M67" s="30" t="s">
        <v>200</v>
      </c>
      <c r="N67" s="53" t="s">
        <v>210</v>
      </c>
      <c r="O67" s="61">
        <v>19.989999999999998</v>
      </c>
      <c r="P67" s="22" t="s">
        <v>200</v>
      </c>
      <c r="Q67" s="95" t="s">
        <v>300</v>
      </c>
      <c r="R67" s="26"/>
      <c r="S67" s="1"/>
      <c r="T67" s="1"/>
    </row>
    <row r="68" spans="1:20" x14ac:dyDescent="0.3">
      <c r="A68" s="3">
        <v>61</v>
      </c>
      <c r="B68" s="64" t="s">
        <v>170</v>
      </c>
      <c r="C68" s="2" t="s">
        <v>18</v>
      </c>
      <c r="D68" s="1" t="s">
        <v>171</v>
      </c>
      <c r="E68" s="1"/>
      <c r="F68" s="13">
        <v>5585997932262</v>
      </c>
      <c r="G68" s="68" t="s">
        <v>169</v>
      </c>
      <c r="H68" s="1" t="s">
        <v>20</v>
      </c>
      <c r="I68" s="5"/>
      <c r="J68" s="19" t="s">
        <v>23</v>
      </c>
      <c r="K68" s="26"/>
      <c r="L68" s="29">
        <v>20.329999999999998</v>
      </c>
      <c r="M68" s="30" t="s">
        <v>200</v>
      </c>
      <c r="N68" s="53" t="s">
        <v>210</v>
      </c>
      <c r="O68" s="115"/>
      <c r="P68" s="22"/>
      <c r="Q68" s="95"/>
      <c r="R68" s="1"/>
      <c r="S68" s="1"/>
      <c r="T68" s="1"/>
    </row>
    <row r="69" spans="1:20" x14ac:dyDescent="0.3">
      <c r="A69" s="3">
        <v>62</v>
      </c>
      <c r="B69" s="119" t="s">
        <v>172</v>
      </c>
      <c r="C69" s="2" t="s">
        <v>18</v>
      </c>
      <c r="D69" s="1" t="s">
        <v>173</v>
      </c>
      <c r="E69" s="2">
        <v>70817</v>
      </c>
      <c r="F69" s="1" t="s">
        <v>174</v>
      </c>
      <c r="G69" s="68" t="s">
        <v>175</v>
      </c>
      <c r="H69" s="1" t="s">
        <v>176</v>
      </c>
      <c r="I69" s="1"/>
      <c r="J69" s="9" t="s">
        <v>23</v>
      </c>
      <c r="K69" s="26"/>
      <c r="L69" s="29">
        <v>25.79</v>
      </c>
      <c r="M69" s="30" t="s">
        <v>200</v>
      </c>
      <c r="N69" s="53" t="s">
        <v>210</v>
      </c>
      <c r="O69" s="60">
        <v>25</v>
      </c>
      <c r="P69" s="22" t="s">
        <v>200</v>
      </c>
      <c r="Q69" s="95" t="s">
        <v>408</v>
      </c>
      <c r="R69" s="1"/>
      <c r="S69" s="1"/>
      <c r="T69" s="1"/>
    </row>
    <row r="70" spans="1:20" x14ac:dyDescent="0.3">
      <c r="A70" s="3">
        <v>63</v>
      </c>
      <c r="B70" s="1" t="s">
        <v>178</v>
      </c>
      <c r="C70" s="2" t="s">
        <v>18</v>
      </c>
      <c r="D70" s="20" t="s">
        <v>180</v>
      </c>
      <c r="E70" s="20"/>
      <c r="F70" s="2">
        <v>452421667</v>
      </c>
      <c r="G70" s="68" t="s">
        <v>179</v>
      </c>
      <c r="H70" s="1" t="s">
        <v>177</v>
      </c>
      <c r="I70" s="1"/>
      <c r="J70" s="9" t="s">
        <v>23</v>
      </c>
      <c r="K70" s="26"/>
      <c r="L70" s="29">
        <v>26.87</v>
      </c>
      <c r="M70" s="30" t="s">
        <v>200</v>
      </c>
      <c r="N70" s="53" t="s">
        <v>210</v>
      </c>
      <c r="O70" s="60">
        <v>23.94</v>
      </c>
      <c r="P70" s="22" t="s">
        <v>200</v>
      </c>
      <c r="Q70" s="95" t="s">
        <v>308</v>
      </c>
      <c r="R70" s="1"/>
      <c r="S70" s="1"/>
      <c r="T70" s="1"/>
    </row>
    <row r="71" spans="1:20" x14ac:dyDescent="0.3">
      <c r="A71" s="3">
        <v>64</v>
      </c>
      <c r="B71" s="1" t="s">
        <v>181</v>
      </c>
      <c r="C71" s="2" t="s">
        <v>18</v>
      </c>
      <c r="D71" s="1" t="s">
        <v>222</v>
      </c>
      <c r="E71" s="2" t="s">
        <v>221</v>
      </c>
      <c r="F71" s="2">
        <v>91984095857</v>
      </c>
      <c r="G71" s="68" t="s">
        <v>182</v>
      </c>
      <c r="H71" s="1" t="s">
        <v>20</v>
      </c>
      <c r="I71" s="1"/>
      <c r="J71" s="9" t="s">
        <v>23</v>
      </c>
      <c r="K71" s="26"/>
      <c r="L71" s="29">
        <v>20.36</v>
      </c>
      <c r="M71" s="30" t="s">
        <v>200</v>
      </c>
      <c r="N71" s="53" t="s">
        <v>210</v>
      </c>
      <c r="O71" s="60">
        <v>19.989999999999998</v>
      </c>
      <c r="P71" s="22" t="s">
        <v>200</v>
      </c>
      <c r="Q71" s="95" t="s">
        <v>301</v>
      </c>
      <c r="R71" s="1"/>
      <c r="S71" s="1"/>
      <c r="T71" s="1"/>
    </row>
    <row r="72" spans="1:20" x14ac:dyDescent="0.3">
      <c r="A72" s="3">
        <v>65</v>
      </c>
      <c r="B72" s="1" t="s">
        <v>183</v>
      </c>
      <c r="C72" s="2" t="s">
        <v>18</v>
      </c>
      <c r="D72" s="1" t="s">
        <v>184</v>
      </c>
      <c r="E72" s="2" t="s">
        <v>246</v>
      </c>
      <c r="F72" s="2">
        <v>965448949</v>
      </c>
      <c r="G72" s="69"/>
      <c r="H72" s="1" t="s">
        <v>42</v>
      </c>
      <c r="I72" s="1"/>
      <c r="J72" s="9"/>
      <c r="K72" s="26"/>
      <c r="L72" s="34"/>
      <c r="M72" s="30" t="s">
        <v>148</v>
      </c>
      <c r="N72" s="53"/>
      <c r="O72" s="60">
        <v>25</v>
      </c>
      <c r="P72" s="22" t="s">
        <v>214</v>
      </c>
      <c r="Q72" s="95" t="s">
        <v>306</v>
      </c>
      <c r="R72" s="1"/>
      <c r="S72" s="1"/>
      <c r="T72" s="1"/>
    </row>
    <row r="73" spans="1:20" x14ac:dyDescent="0.3">
      <c r="A73" s="3">
        <v>66</v>
      </c>
      <c r="B73" s="1" t="s">
        <v>185</v>
      </c>
      <c r="C73" s="2" t="s">
        <v>18</v>
      </c>
      <c r="D73" s="1" t="s">
        <v>184</v>
      </c>
      <c r="E73" s="2" t="s">
        <v>246</v>
      </c>
      <c r="F73" s="2">
        <v>965448949</v>
      </c>
      <c r="G73" s="69"/>
      <c r="H73" s="1" t="s">
        <v>42</v>
      </c>
      <c r="I73" s="1"/>
      <c r="J73" s="9"/>
      <c r="K73" s="26"/>
      <c r="L73" s="34"/>
      <c r="M73" s="30" t="s">
        <v>148</v>
      </c>
      <c r="N73" s="53"/>
      <c r="O73" s="60">
        <v>25</v>
      </c>
      <c r="P73" s="22" t="s">
        <v>214</v>
      </c>
      <c r="Q73" s="95" t="s">
        <v>306</v>
      </c>
      <c r="R73" s="1"/>
      <c r="S73" s="1"/>
      <c r="T73" s="1"/>
    </row>
    <row r="74" spans="1:20" x14ac:dyDescent="0.3">
      <c r="A74" s="3">
        <v>67</v>
      </c>
      <c r="B74" s="65" t="s">
        <v>186</v>
      </c>
      <c r="C74" s="2" t="s">
        <v>18</v>
      </c>
      <c r="D74" s="1" t="s">
        <v>187</v>
      </c>
      <c r="E74" s="2" t="s">
        <v>223</v>
      </c>
      <c r="F74" s="2">
        <v>5579999724536</v>
      </c>
      <c r="G74" s="68" t="s">
        <v>188</v>
      </c>
      <c r="H74" s="1" t="s">
        <v>20</v>
      </c>
      <c r="I74" s="1"/>
      <c r="J74" s="9" t="s">
        <v>23</v>
      </c>
      <c r="K74" s="26"/>
      <c r="L74" s="29">
        <v>19.38</v>
      </c>
      <c r="M74" s="30" t="s">
        <v>200</v>
      </c>
      <c r="N74" s="53" t="s">
        <v>210</v>
      </c>
      <c r="O74" s="60">
        <v>25</v>
      </c>
      <c r="P74" s="22" t="s">
        <v>214</v>
      </c>
      <c r="Q74" s="95" t="s">
        <v>302</v>
      </c>
      <c r="R74" s="1"/>
      <c r="S74" s="1"/>
      <c r="T74" s="1"/>
    </row>
    <row r="75" spans="1:20" x14ac:dyDescent="0.3">
      <c r="A75" s="3">
        <v>68</v>
      </c>
      <c r="B75" s="1" t="s">
        <v>189</v>
      </c>
      <c r="C75" s="2" t="s">
        <v>18</v>
      </c>
      <c r="D75" s="1" t="s">
        <v>190</v>
      </c>
      <c r="E75" s="2" t="s">
        <v>247</v>
      </c>
      <c r="F75" s="2">
        <v>929204128</v>
      </c>
      <c r="G75" s="68" t="s">
        <v>191</v>
      </c>
      <c r="H75" s="1" t="s">
        <v>42</v>
      </c>
      <c r="I75" s="1"/>
      <c r="J75" s="9" t="s">
        <v>23</v>
      </c>
      <c r="K75" s="26"/>
      <c r="L75" s="29">
        <v>24.37</v>
      </c>
      <c r="M75" s="30" t="s">
        <v>200</v>
      </c>
      <c r="N75" s="53" t="s">
        <v>210</v>
      </c>
      <c r="O75" s="60">
        <v>25</v>
      </c>
      <c r="P75" s="22" t="s">
        <v>214</v>
      </c>
      <c r="Q75" s="95" t="s">
        <v>303</v>
      </c>
      <c r="R75" s="1"/>
      <c r="S75" s="1"/>
      <c r="T75" s="1"/>
    </row>
    <row r="76" spans="1:20" x14ac:dyDescent="0.3">
      <c r="A76" s="3">
        <v>70</v>
      </c>
      <c r="B76" s="1" t="s">
        <v>195</v>
      </c>
      <c r="C76" s="2" t="s">
        <v>18</v>
      </c>
      <c r="D76" s="1" t="s">
        <v>196</v>
      </c>
      <c r="E76" s="2" t="s">
        <v>216</v>
      </c>
      <c r="F76" s="1">
        <v>914397915</v>
      </c>
      <c r="G76" s="68" t="s">
        <v>197</v>
      </c>
      <c r="H76" s="1" t="s">
        <v>42</v>
      </c>
      <c r="I76" s="1"/>
      <c r="J76" s="9" t="s">
        <v>23</v>
      </c>
      <c r="K76" s="26"/>
      <c r="L76" s="35"/>
      <c r="M76" s="30" t="s">
        <v>200</v>
      </c>
      <c r="N76" s="53"/>
      <c r="O76" s="60">
        <v>23.77</v>
      </c>
      <c r="P76" s="56" t="s">
        <v>200</v>
      </c>
      <c r="Q76" s="95" t="s">
        <v>304</v>
      </c>
      <c r="R76" s="1"/>
      <c r="S76" s="1"/>
      <c r="T76" s="1"/>
    </row>
    <row r="77" spans="1:20" x14ac:dyDescent="0.3">
      <c r="A77" s="4">
        <v>71</v>
      </c>
      <c r="B77" s="83" t="s">
        <v>192</v>
      </c>
      <c r="C77" s="6" t="s">
        <v>18</v>
      </c>
      <c r="D77" s="5" t="s">
        <v>193</v>
      </c>
      <c r="E77" s="5"/>
      <c r="F77" s="5">
        <v>6194572568</v>
      </c>
      <c r="G77" s="73" t="s">
        <v>194</v>
      </c>
      <c r="H77" s="5" t="s">
        <v>39</v>
      </c>
      <c r="I77" s="5"/>
      <c r="J77" s="19" t="s">
        <v>23</v>
      </c>
      <c r="K77" s="37"/>
      <c r="L77" s="81">
        <v>26.41</v>
      </c>
      <c r="M77" s="82" t="s">
        <v>200</v>
      </c>
      <c r="N77" s="84" t="s">
        <v>210</v>
      </c>
      <c r="O77" s="114"/>
      <c r="P77" s="24"/>
      <c r="Q77" s="98"/>
      <c r="R77" s="1"/>
      <c r="S77" s="1"/>
      <c r="T77" s="1"/>
    </row>
    <row r="78" spans="1:20" x14ac:dyDescent="0.3">
      <c r="A78" s="8">
        <v>72</v>
      </c>
      <c r="B78" s="67" t="s">
        <v>309</v>
      </c>
      <c r="C78" s="6" t="s">
        <v>18</v>
      </c>
      <c r="D78" s="5" t="s">
        <v>310</v>
      </c>
      <c r="E78" s="6" t="s">
        <v>311</v>
      </c>
      <c r="F78" s="6">
        <v>933037345</v>
      </c>
      <c r="G78" s="73" t="s">
        <v>312</v>
      </c>
      <c r="H78" s="5" t="s">
        <v>42</v>
      </c>
      <c r="I78" s="5"/>
      <c r="J78" s="19" t="s">
        <v>23</v>
      </c>
      <c r="K78" s="5"/>
      <c r="L78" s="6"/>
      <c r="M78" s="6"/>
      <c r="N78" s="6"/>
      <c r="O78" s="87">
        <v>25</v>
      </c>
      <c r="P78" s="88" t="s">
        <v>214</v>
      </c>
      <c r="Q78" s="98" t="s">
        <v>313</v>
      </c>
      <c r="R78" s="1"/>
      <c r="S78" s="1"/>
      <c r="T78" s="1"/>
    </row>
    <row r="79" spans="1:20" x14ac:dyDescent="0.3">
      <c r="A79" s="8">
        <v>73</v>
      </c>
      <c r="B79" s="67" t="s">
        <v>314</v>
      </c>
      <c r="C79" s="6" t="s">
        <v>18</v>
      </c>
      <c r="D79" s="5" t="s">
        <v>315</v>
      </c>
      <c r="E79" s="6" t="s">
        <v>316</v>
      </c>
      <c r="F79" s="6">
        <v>919343671</v>
      </c>
      <c r="G79" s="73" t="s">
        <v>317</v>
      </c>
      <c r="H79" s="5" t="s">
        <v>42</v>
      </c>
      <c r="I79" s="5"/>
      <c r="J79" s="19" t="s">
        <v>23</v>
      </c>
      <c r="K79" s="5"/>
      <c r="L79" s="6"/>
      <c r="M79" s="6"/>
      <c r="N79" s="6"/>
      <c r="O79" s="87">
        <v>25</v>
      </c>
      <c r="P79" s="88" t="s">
        <v>214</v>
      </c>
      <c r="Q79" s="98" t="s">
        <v>318</v>
      </c>
      <c r="R79" s="1"/>
      <c r="S79" s="1"/>
      <c r="T79" s="1"/>
    </row>
    <row r="80" spans="1:20" x14ac:dyDescent="0.3">
      <c r="A80" s="8">
        <v>74</v>
      </c>
      <c r="B80" s="5" t="s">
        <v>324</v>
      </c>
      <c r="C80" s="6" t="s">
        <v>18</v>
      </c>
      <c r="D80" s="5" t="s">
        <v>325</v>
      </c>
      <c r="E80" s="6" t="s">
        <v>326</v>
      </c>
      <c r="F80" s="6">
        <v>5582988551400</v>
      </c>
      <c r="G80" s="73" t="s">
        <v>327</v>
      </c>
      <c r="H80" s="5" t="s">
        <v>20</v>
      </c>
      <c r="I80" s="5"/>
      <c r="J80" s="19" t="s">
        <v>23</v>
      </c>
      <c r="K80" s="5"/>
      <c r="L80" s="6"/>
      <c r="M80" s="6"/>
      <c r="N80" s="6"/>
      <c r="O80" s="87">
        <v>19.57</v>
      </c>
      <c r="P80" s="88" t="s">
        <v>200</v>
      </c>
      <c r="Q80" s="98" t="s">
        <v>328</v>
      </c>
      <c r="R80" s="1"/>
      <c r="S80" s="1"/>
      <c r="T80" s="1"/>
    </row>
    <row r="81" spans="1:20" x14ac:dyDescent="0.3">
      <c r="A81" s="3">
        <v>75</v>
      </c>
      <c r="B81" s="1" t="s">
        <v>330</v>
      </c>
      <c r="C81" s="6" t="s">
        <v>18</v>
      </c>
      <c r="D81" s="1" t="s">
        <v>331</v>
      </c>
      <c r="E81" s="2"/>
      <c r="F81" s="2">
        <v>935255013</v>
      </c>
      <c r="G81" s="68" t="s">
        <v>332</v>
      </c>
      <c r="H81" s="1" t="s">
        <v>42</v>
      </c>
      <c r="I81" s="1"/>
      <c r="J81" s="19" t="s">
        <v>23</v>
      </c>
      <c r="K81" s="1"/>
      <c r="L81" s="2"/>
      <c r="M81" s="2"/>
      <c r="N81" s="2"/>
      <c r="O81" s="86">
        <v>23.77</v>
      </c>
      <c r="P81" s="85" t="s">
        <v>329</v>
      </c>
      <c r="Q81" s="79" t="s">
        <v>405</v>
      </c>
      <c r="R81" s="1"/>
      <c r="S81" s="1"/>
      <c r="T81" s="1"/>
    </row>
    <row r="82" spans="1:20" x14ac:dyDescent="0.3">
      <c r="A82" s="3">
        <v>76</v>
      </c>
      <c r="B82" s="1" t="s">
        <v>333</v>
      </c>
      <c r="C82" s="6" t="s">
        <v>18</v>
      </c>
      <c r="D82" s="1" t="s">
        <v>335</v>
      </c>
      <c r="E82" s="2" t="s">
        <v>334</v>
      </c>
      <c r="F82" s="2">
        <v>917118502</v>
      </c>
      <c r="G82" s="90" t="s">
        <v>336</v>
      </c>
      <c r="H82" s="1" t="s">
        <v>42</v>
      </c>
      <c r="I82" s="1"/>
      <c r="J82" s="19" t="s">
        <v>23</v>
      </c>
      <c r="K82" s="1"/>
      <c r="L82" s="2"/>
      <c r="M82" s="2"/>
      <c r="N82" s="2"/>
      <c r="O82" s="86">
        <v>23.77</v>
      </c>
      <c r="P82" s="85" t="s">
        <v>329</v>
      </c>
      <c r="Q82" s="95" t="s">
        <v>341</v>
      </c>
      <c r="R82" s="1"/>
      <c r="S82" s="1"/>
      <c r="T82" s="1"/>
    </row>
    <row r="83" spans="1:20" x14ac:dyDescent="0.3">
      <c r="A83" s="3">
        <v>77</v>
      </c>
      <c r="B83" s="5" t="s">
        <v>337</v>
      </c>
      <c r="C83" s="6" t="s">
        <v>18</v>
      </c>
      <c r="D83" s="5" t="s">
        <v>339</v>
      </c>
      <c r="E83" s="6" t="s">
        <v>340</v>
      </c>
      <c r="F83" s="6">
        <v>962828582</v>
      </c>
      <c r="G83" s="73" t="s">
        <v>338</v>
      </c>
      <c r="H83" s="5" t="s">
        <v>42</v>
      </c>
      <c r="I83" s="5"/>
      <c r="J83" s="19" t="s">
        <v>23</v>
      </c>
      <c r="K83" s="5"/>
      <c r="L83" s="6"/>
      <c r="M83" s="6"/>
      <c r="N83" s="6"/>
      <c r="O83" s="87">
        <v>25</v>
      </c>
      <c r="P83" s="88" t="s">
        <v>214</v>
      </c>
      <c r="Q83" s="98" t="s">
        <v>347</v>
      </c>
      <c r="R83" s="1"/>
      <c r="S83" s="1"/>
      <c r="T83" s="1"/>
    </row>
    <row r="84" spans="1:20" x14ac:dyDescent="0.3">
      <c r="A84" s="91">
        <v>78</v>
      </c>
      <c r="B84" s="5" t="s">
        <v>343</v>
      </c>
      <c r="C84" s="6" t="s">
        <v>18</v>
      </c>
      <c r="D84" s="5" t="s">
        <v>344</v>
      </c>
      <c r="E84" s="6" t="s">
        <v>345</v>
      </c>
      <c r="F84" s="6">
        <v>939610479</v>
      </c>
      <c r="G84" s="73" t="s">
        <v>346</v>
      </c>
      <c r="H84" s="5" t="s">
        <v>42</v>
      </c>
      <c r="I84" s="5"/>
      <c r="J84" s="19" t="s">
        <v>23</v>
      </c>
      <c r="K84" s="5"/>
      <c r="L84" s="6"/>
      <c r="M84" s="6"/>
      <c r="N84" s="6"/>
      <c r="O84" s="87">
        <v>25</v>
      </c>
      <c r="P84" s="88" t="s">
        <v>214</v>
      </c>
      <c r="Q84" s="98" t="s">
        <v>348</v>
      </c>
      <c r="R84" s="1"/>
      <c r="S84" s="1"/>
      <c r="T84" s="1"/>
    </row>
    <row r="85" spans="1:20" x14ac:dyDescent="0.3">
      <c r="A85" s="8">
        <v>79</v>
      </c>
      <c r="B85" s="5" t="s">
        <v>349</v>
      </c>
      <c r="C85" s="6" t="s">
        <v>18</v>
      </c>
      <c r="D85" s="5" t="s">
        <v>350</v>
      </c>
      <c r="E85" s="6" t="s">
        <v>351</v>
      </c>
      <c r="F85" s="6">
        <v>963350132</v>
      </c>
      <c r="G85" s="73" t="s">
        <v>352</v>
      </c>
      <c r="H85" s="5" t="s">
        <v>42</v>
      </c>
      <c r="I85" s="5"/>
      <c r="J85" s="19" t="s">
        <v>23</v>
      </c>
      <c r="K85" s="5"/>
      <c r="L85" s="6"/>
      <c r="M85" s="6"/>
      <c r="N85" s="6"/>
      <c r="O85" s="87">
        <v>25</v>
      </c>
      <c r="P85" s="88" t="s">
        <v>214</v>
      </c>
      <c r="Q85" s="98" t="s">
        <v>353</v>
      </c>
      <c r="R85" s="1"/>
      <c r="S85" s="1"/>
      <c r="T85" s="1"/>
    </row>
    <row r="86" spans="1:20" x14ac:dyDescent="0.3">
      <c r="A86" s="3">
        <v>80</v>
      </c>
      <c r="B86" s="1" t="s">
        <v>354</v>
      </c>
      <c r="C86" s="2" t="s">
        <v>18</v>
      </c>
      <c r="D86" s="1" t="s">
        <v>361</v>
      </c>
      <c r="E86" s="2" t="s">
        <v>360</v>
      </c>
      <c r="F86" s="2">
        <v>962783125</v>
      </c>
      <c r="G86" s="68" t="s">
        <v>358</v>
      </c>
      <c r="H86" s="1" t="s">
        <v>42</v>
      </c>
      <c r="I86" s="1"/>
      <c r="J86" s="19" t="s">
        <v>23</v>
      </c>
      <c r="K86" s="1"/>
      <c r="L86" s="2"/>
      <c r="M86" s="2"/>
      <c r="N86" s="2"/>
      <c r="O86" s="86">
        <v>25</v>
      </c>
      <c r="P86" s="88" t="s">
        <v>214</v>
      </c>
      <c r="Q86" s="95" t="s">
        <v>362</v>
      </c>
      <c r="R86" s="1"/>
      <c r="S86" s="1"/>
      <c r="T86" s="1"/>
    </row>
    <row r="87" spans="1:20" x14ac:dyDescent="0.3">
      <c r="A87" s="3">
        <v>81</v>
      </c>
      <c r="B87" s="5" t="s">
        <v>355</v>
      </c>
      <c r="C87" s="6" t="s">
        <v>18</v>
      </c>
      <c r="D87" s="5" t="s">
        <v>356</v>
      </c>
      <c r="E87" s="6" t="s">
        <v>357</v>
      </c>
      <c r="F87" s="78">
        <v>351914704486</v>
      </c>
      <c r="G87" s="73" t="s">
        <v>358</v>
      </c>
      <c r="H87" s="5" t="s">
        <v>42</v>
      </c>
      <c r="I87" s="5"/>
      <c r="J87" s="19" t="s">
        <v>23</v>
      </c>
      <c r="K87" s="5"/>
      <c r="L87" s="6"/>
      <c r="M87" s="6"/>
      <c r="N87" s="6"/>
      <c r="O87" s="87">
        <v>25</v>
      </c>
      <c r="P87" s="88" t="s">
        <v>214</v>
      </c>
      <c r="Q87" s="98" t="s">
        <v>359</v>
      </c>
      <c r="R87" s="1"/>
      <c r="S87" s="1"/>
      <c r="T87" s="1"/>
    </row>
    <row r="88" spans="1:20" x14ac:dyDescent="0.3">
      <c r="A88" s="8">
        <v>82</v>
      </c>
      <c r="B88" s="92" t="s">
        <v>363</v>
      </c>
      <c r="C88" s="6" t="s">
        <v>18</v>
      </c>
      <c r="D88" s="5" t="s">
        <v>364</v>
      </c>
      <c r="E88" s="6">
        <v>88164220</v>
      </c>
      <c r="F88" s="78">
        <v>48991858801</v>
      </c>
      <c r="G88" s="73" t="s">
        <v>365</v>
      </c>
      <c r="H88" s="5" t="s">
        <v>42</v>
      </c>
      <c r="I88" s="5"/>
      <c r="J88" s="19" t="s">
        <v>23</v>
      </c>
      <c r="K88" s="5"/>
      <c r="L88" s="6"/>
      <c r="M88" s="6"/>
      <c r="N88" s="6"/>
      <c r="O88" s="87">
        <v>25</v>
      </c>
      <c r="P88" s="88" t="s">
        <v>214</v>
      </c>
      <c r="Q88" s="95" t="s">
        <v>370</v>
      </c>
      <c r="R88" s="1"/>
      <c r="S88" s="1"/>
      <c r="T88" s="1"/>
    </row>
    <row r="89" spans="1:20" x14ac:dyDescent="0.3">
      <c r="A89" s="3">
        <v>83</v>
      </c>
      <c r="B89" s="5" t="s">
        <v>366</v>
      </c>
      <c r="C89" s="6" t="s">
        <v>18</v>
      </c>
      <c r="D89" s="5" t="s">
        <v>367</v>
      </c>
      <c r="E89" s="6" t="s">
        <v>368</v>
      </c>
      <c r="F89" s="78">
        <v>926040640</v>
      </c>
      <c r="G89" s="73" t="s">
        <v>369</v>
      </c>
      <c r="H89" s="5" t="s">
        <v>42</v>
      </c>
      <c r="I89" s="5"/>
      <c r="J89" s="19" t="s">
        <v>23</v>
      </c>
      <c r="K89" s="5"/>
      <c r="L89" s="6"/>
      <c r="M89" s="6"/>
      <c r="N89" s="6"/>
      <c r="O89" s="87">
        <v>25</v>
      </c>
      <c r="P89" s="88" t="s">
        <v>200</v>
      </c>
      <c r="Q89" s="101" t="s">
        <v>372</v>
      </c>
      <c r="R89" s="87">
        <v>25</v>
      </c>
      <c r="S89" s="88" t="s">
        <v>200</v>
      </c>
      <c r="T89" s="5"/>
    </row>
    <row r="90" spans="1:20" x14ac:dyDescent="0.3">
      <c r="A90" s="3">
        <v>84</v>
      </c>
      <c r="B90" s="1" t="s">
        <v>373</v>
      </c>
      <c r="C90" s="6" t="s">
        <v>18</v>
      </c>
      <c r="D90" s="1" t="s">
        <v>374</v>
      </c>
      <c r="E90" s="2" t="s">
        <v>375</v>
      </c>
      <c r="F90" s="77">
        <v>964703480</v>
      </c>
      <c r="G90" s="68" t="s">
        <v>376</v>
      </c>
      <c r="H90" s="5" t="s">
        <v>42</v>
      </c>
      <c r="I90" s="1"/>
      <c r="J90" s="19" t="s">
        <v>23</v>
      </c>
      <c r="K90" s="1"/>
      <c r="L90" s="2"/>
      <c r="M90" s="2"/>
      <c r="N90" s="2"/>
      <c r="O90" s="86">
        <v>25</v>
      </c>
      <c r="P90" s="88" t="s">
        <v>200</v>
      </c>
      <c r="Q90" s="79" t="s">
        <v>403</v>
      </c>
      <c r="R90" s="110"/>
      <c r="S90" s="85"/>
      <c r="T90" s="1"/>
    </row>
    <row r="91" spans="1:20" x14ac:dyDescent="0.3">
      <c r="A91" s="3">
        <v>85</v>
      </c>
      <c r="B91" s="1" t="s">
        <v>377</v>
      </c>
      <c r="C91" s="6" t="s">
        <v>18</v>
      </c>
      <c r="D91" s="1" t="s">
        <v>378</v>
      </c>
      <c r="E91" s="2"/>
      <c r="F91" s="77">
        <v>11999172581</v>
      </c>
      <c r="G91" s="68" t="s">
        <v>379</v>
      </c>
      <c r="H91" s="5" t="s">
        <v>20</v>
      </c>
      <c r="I91" s="1"/>
      <c r="J91" s="19" t="s">
        <v>23</v>
      </c>
      <c r="K91" s="1"/>
      <c r="L91" s="2"/>
      <c r="M91" s="2"/>
      <c r="N91" s="2"/>
      <c r="O91" s="86">
        <v>25</v>
      </c>
      <c r="P91" s="88" t="s">
        <v>200</v>
      </c>
      <c r="Q91" s="79" t="s">
        <v>404</v>
      </c>
      <c r="R91" s="110"/>
      <c r="S91" s="85"/>
      <c r="T91" s="1"/>
    </row>
    <row r="92" spans="1:20" x14ac:dyDescent="0.3">
      <c r="A92" s="3">
        <v>86</v>
      </c>
      <c r="B92" s="1" t="s">
        <v>380</v>
      </c>
      <c r="C92" s="6" t="s">
        <v>18</v>
      </c>
      <c r="D92" s="1" t="s">
        <v>381</v>
      </c>
      <c r="E92" s="2" t="s">
        <v>382</v>
      </c>
      <c r="F92" s="77">
        <v>937099667</v>
      </c>
      <c r="G92" s="68" t="s">
        <v>383</v>
      </c>
      <c r="H92" s="5" t="s">
        <v>42</v>
      </c>
      <c r="I92" s="1"/>
      <c r="J92" s="19" t="s">
        <v>23</v>
      </c>
      <c r="K92" s="1"/>
      <c r="L92" s="2"/>
      <c r="M92" s="2"/>
      <c r="N92" s="2"/>
      <c r="O92" s="86">
        <v>25</v>
      </c>
      <c r="P92" s="88" t="s">
        <v>214</v>
      </c>
      <c r="Q92" s="79" t="s">
        <v>384</v>
      </c>
      <c r="R92" s="110"/>
      <c r="S92" s="85"/>
      <c r="T92" s="1"/>
    </row>
    <row r="93" spans="1:20" x14ac:dyDescent="0.3">
      <c r="A93" s="3">
        <v>87</v>
      </c>
      <c r="B93" s="1" t="s">
        <v>385</v>
      </c>
      <c r="C93" s="6" t="s">
        <v>18</v>
      </c>
      <c r="D93" s="1" t="s">
        <v>386</v>
      </c>
      <c r="E93" s="2" t="s">
        <v>387</v>
      </c>
      <c r="F93" s="77">
        <v>912509910</v>
      </c>
      <c r="G93" s="68" t="s">
        <v>388</v>
      </c>
      <c r="H93" s="5" t="s">
        <v>42</v>
      </c>
      <c r="I93" s="1"/>
      <c r="J93" s="19" t="s">
        <v>23</v>
      </c>
      <c r="K93" s="1"/>
      <c r="L93" s="2"/>
      <c r="M93" s="2"/>
      <c r="N93" s="2"/>
      <c r="O93" s="86">
        <v>25</v>
      </c>
      <c r="P93" s="88" t="s">
        <v>214</v>
      </c>
      <c r="Q93" s="79" t="s">
        <v>389</v>
      </c>
      <c r="R93" s="110"/>
      <c r="S93" s="85"/>
      <c r="T93" s="1"/>
    </row>
    <row r="94" spans="1:20" x14ac:dyDescent="0.3">
      <c r="A94" s="3">
        <v>88</v>
      </c>
      <c r="B94" s="1" t="s">
        <v>396</v>
      </c>
      <c r="C94" s="6" t="s">
        <v>18</v>
      </c>
      <c r="D94" s="1" t="s">
        <v>398</v>
      </c>
      <c r="E94" s="2" t="s">
        <v>399</v>
      </c>
      <c r="F94" s="77" t="s">
        <v>400</v>
      </c>
      <c r="G94" s="68" t="s">
        <v>397</v>
      </c>
      <c r="H94" s="5" t="s">
        <v>42</v>
      </c>
      <c r="I94" s="1"/>
      <c r="J94" s="19" t="s">
        <v>23</v>
      </c>
      <c r="K94" s="1"/>
      <c r="L94" s="2"/>
      <c r="M94" s="2"/>
      <c r="N94" s="2"/>
      <c r="O94" s="86">
        <v>25</v>
      </c>
      <c r="P94" s="88" t="s">
        <v>401</v>
      </c>
      <c r="Q94" s="79" t="s">
        <v>402</v>
      </c>
      <c r="R94" s="110"/>
      <c r="S94" s="85"/>
      <c r="T94" s="1"/>
    </row>
    <row r="95" spans="1:20" x14ac:dyDescent="0.3">
      <c r="A95" s="112">
        <v>89</v>
      </c>
      <c r="B95" s="1" t="s">
        <v>392</v>
      </c>
      <c r="C95" s="6" t="s">
        <v>18</v>
      </c>
      <c r="D95" s="1" t="s">
        <v>393</v>
      </c>
      <c r="E95" s="2" t="s">
        <v>394</v>
      </c>
      <c r="F95" s="77">
        <v>914717649</v>
      </c>
      <c r="G95" s="68" t="s">
        <v>395</v>
      </c>
      <c r="H95" s="5" t="s">
        <v>42</v>
      </c>
      <c r="I95" s="1"/>
      <c r="J95" s="19" t="s">
        <v>23</v>
      </c>
      <c r="K95" s="1"/>
      <c r="L95" s="2"/>
      <c r="M95" s="2"/>
      <c r="N95" s="2"/>
      <c r="O95" s="113"/>
      <c r="P95" s="88"/>
      <c r="Q95" s="116"/>
      <c r="R95" s="110"/>
      <c r="S95" s="85"/>
      <c r="T95" s="1"/>
    </row>
    <row r="96" spans="1:20" x14ac:dyDescent="0.3">
      <c r="A96" s="7"/>
      <c r="B96" s="1"/>
      <c r="C96" s="2"/>
      <c r="D96" s="1"/>
      <c r="E96" s="2"/>
      <c r="F96" s="77"/>
      <c r="G96" s="68"/>
      <c r="H96" s="1"/>
      <c r="I96" s="1"/>
      <c r="J96" s="9"/>
      <c r="K96" s="1"/>
      <c r="L96" s="2"/>
      <c r="M96" s="2"/>
      <c r="N96" s="2"/>
      <c r="O96" s="110"/>
      <c r="P96" s="110"/>
      <c r="Q96" s="111"/>
      <c r="R96" s="110"/>
      <c r="S96" s="85"/>
      <c r="T96" s="1"/>
    </row>
    <row r="97" spans="1:20" ht="16.2" customHeight="1" thickBot="1" x14ac:dyDescent="0.45">
      <c r="A97" s="89"/>
      <c r="J97" s="102" t="s">
        <v>201</v>
      </c>
      <c r="K97" s="103">
        <f>SUM(K4:K77)</f>
        <v>736.20999999999992</v>
      </c>
      <c r="L97" s="104">
        <f>SUM(L4:L77)</f>
        <v>1168.9099999999999</v>
      </c>
      <c r="M97" s="105"/>
      <c r="N97" s="105"/>
      <c r="O97" s="106">
        <f>SUM(O4:O77)</f>
        <v>1145.5999999999999</v>
      </c>
      <c r="P97" s="229"/>
      <c r="Q97" s="230"/>
      <c r="R97" s="107">
        <f>SUM(R4:R89)</f>
        <v>44.9</v>
      </c>
      <c r="S97" s="108"/>
      <c r="T97" s="109"/>
    </row>
  </sheetData>
  <mergeCells count="2">
    <mergeCell ref="K2:P2"/>
    <mergeCell ref="P97:Q97"/>
  </mergeCells>
  <hyperlinks>
    <hyperlink ref="G28" r:id="rId1" xr:uid="{FF984F9B-AE67-4D60-BBE9-FC8098C80882}"/>
    <hyperlink ref="G29" r:id="rId2" xr:uid="{98F048E1-10E1-4CDD-BFF9-240F5F6BE88C}"/>
    <hyperlink ref="G30" r:id="rId3" xr:uid="{EE79AE7E-25EB-4C2A-953D-36166B87A8AB}"/>
    <hyperlink ref="G32" r:id="rId4" xr:uid="{63961D9F-2A87-4466-AC23-FECA1A46DE8B}"/>
    <hyperlink ref="G33" r:id="rId5" xr:uid="{3291BC54-84B8-4FE7-B851-EFB280BFAB70}"/>
    <hyperlink ref="G35" r:id="rId6" xr:uid="{F81FE617-76DA-46D3-B2A3-F17A7F43A3F2}"/>
    <hyperlink ref="G39" r:id="rId7" xr:uid="{BA6DF4DF-9020-49C4-9CEA-DF0B3070EAC8}"/>
    <hyperlink ref="G40" r:id="rId8" xr:uid="{57FDBB02-D034-4E06-93F3-2DFE040ABE15}"/>
    <hyperlink ref="G41" r:id="rId9" xr:uid="{874E4A4A-301D-4C71-A053-D69DE1EFEA85}"/>
    <hyperlink ref="G43" r:id="rId10" xr:uid="{73D005F6-69DA-4455-9C26-EA41510F0F23}"/>
    <hyperlink ref="G45" r:id="rId11" xr:uid="{3C06E628-348C-4172-8EC7-D17F9EA795F6}"/>
    <hyperlink ref="G50" r:id="rId12" xr:uid="{AAAF753E-F063-4330-BCC0-100E9FC16ACE}"/>
    <hyperlink ref="G19" r:id="rId13" xr:uid="{2D94E2B7-8824-4C34-8CDE-8D45C4AA81F5}"/>
    <hyperlink ref="G51" r:id="rId14" xr:uid="{F55E62A1-702F-4E43-A47A-8A4E3C6EB3A7}"/>
    <hyperlink ref="G52" r:id="rId15" xr:uid="{BB0E12CF-1ABB-486C-9D4E-B731623351A4}"/>
    <hyperlink ref="G53" r:id="rId16" xr:uid="{7A10342D-F272-45D8-9FCE-0CB6C7762480}"/>
    <hyperlink ref="G54" r:id="rId17" xr:uid="{A00FB0AE-32F5-4692-8A40-C12B8EF347D5}"/>
    <hyperlink ref="G57" r:id="rId18" xr:uid="{AA76C5EA-46B9-4C60-844E-4FE5B1AC78E7}"/>
    <hyperlink ref="G60" r:id="rId19" xr:uid="{84923281-4D23-45F6-B083-7ACEEA415248}"/>
    <hyperlink ref="G14" r:id="rId20" xr:uid="{5A5D2DED-1CDA-47B3-9A3A-1ED4CE275AF4}"/>
    <hyperlink ref="G61" r:id="rId21" xr:uid="{48EE86AD-4045-4FCA-B8FF-5CD12361ED05}"/>
    <hyperlink ref="G22" r:id="rId22" xr:uid="{27C002E8-F824-4590-9211-165120BF5454}"/>
    <hyperlink ref="G62" r:id="rId23" xr:uid="{4D895350-85F7-434D-9468-F922329B0393}"/>
    <hyperlink ref="G63" r:id="rId24" xr:uid="{7C4AFAF9-2156-4841-879F-27D8149A98F0}"/>
    <hyperlink ref="G64" r:id="rId25" xr:uid="{1E5CB9FB-C4AA-404C-ADC5-41048EF3BAAA}"/>
    <hyperlink ref="G20" r:id="rId26" xr:uid="{BCE102B8-3E7C-4033-B8CB-6BF1FD2769B9}"/>
    <hyperlink ref="G17" r:id="rId27" xr:uid="{C38DA503-0893-46A6-BE12-B619A8D4F7A8}"/>
    <hyperlink ref="G24" r:id="rId28" xr:uid="{C1C526F6-027E-4978-B17C-53362AB0A5D1}"/>
    <hyperlink ref="G26" r:id="rId29" xr:uid="{F4C9080D-52E7-4740-9A96-9B35E79E0578}"/>
    <hyperlink ref="G25" r:id="rId30" xr:uid="{5729F870-8C61-4085-B670-776DAF26D65F}"/>
    <hyperlink ref="G36" r:id="rId31" xr:uid="{B90D302F-F54A-46E4-B7AF-D6C69B80E954}"/>
    <hyperlink ref="B65" r:id="rId32" display="https://dashboard.stripe.com/guests/gcus_1Ps5QcGyU3vzDUuTKn89rPBw" xr:uid="{90A4FB07-8186-4F2C-ABFE-26920E0C611C}"/>
    <hyperlink ref="G66" r:id="rId33" xr:uid="{A8400D64-6D9E-40AA-A004-B4A82AA21D45}"/>
    <hyperlink ref="G67" r:id="rId34" xr:uid="{2DB06C12-AA0E-4D32-A692-41C4AB1A4D74}"/>
    <hyperlink ref="G68" r:id="rId35" xr:uid="{3C2803DD-EDA4-4EE8-8CC6-B1862C9991BF}"/>
    <hyperlink ref="G69" r:id="rId36" xr:uid="{46BDAE53-E0F1-479F-B0B9-EF4E8AC1F938}"/>
    <hyperlink ref="G70" r:id="rId37" xr:uid="{2DE639D4-D78A-41BC-A29D-674602E8324B}"/>
    <hyperlink ref="G71" r:id="rId38" xr:uid="{77F236CA-04B1-4CEF-971C-8A91AD5AD5B9}"/>
    <hyperlink ref="G74" r:id="rId39" xr:uid="{F089B2F0-1DD3-4630-8A0F-D99BDFE693E5}"/>
    <hyperlink ref="G75" r:id="rId40" xr:uid="{DD2621A5-04EE-40C3-8AB1-D34DC8CFC086}"/>
    <hyperlink ref="G76" r:id="rId41" xr:uid="{DD845720-EFDE-4E6C-B00E-56CE7C5B8C89}"/>
    <hyperlink ref="G77" r:id="rId42" xr:uid="{B1BD0A90-8589-461A-803B-B2CEAD5B4441}"/>
    <hyperlink ref="G49" r:id="rId43" xr:uid="{A391F433-3104-498D-844B-EE34BA77E6E6}"/>
    <hyperlink ref="G65" r:id="rId44" xr:uid="{031FA567-E924-48F1-8796-C70CB79A73CD}"/>
    <hyperlink ref="G78" r:id="rId45" xr:uid="{562CAD96-02D6-4A05-888A-702ADBDB2EA8}"/>
    <hyperlink ref="G79" r:id="rId46" xr:uid="{A167418C-A3DA-4526-84DB-017221C0D488}"/>
    <hyperlink ref="G80" r:id="rId47" xr:uid="{FD9A605D-82B0-4183-8BBE-29BC737592CE}"/>
    <hyperlink ref="G82" r:id="rId48" xr:uid="{42FB5994-4BCE-48B6-BFC5-BD0BFAA903DB}"/>
    <hyperlink ref="G83" r:id="rId49" xr:uid="{2CF44D78-64F2-4A00-9D12-9223927626B6}"/>
    <hyperlink ref="G84" r:id="rId50" xr:uid="{4E8AFBB6-84FA-4339-9439-0514CC66CF63}"/>
    <hyperlink ref="G85" r:id="rId51" xr:uid="{78986E23-54BA-4151-A171-DE98144528D2}"/>
    <hyperlink ref="G88" r:id="rId52" xr:uid="{54CB0A1F-916C-4A56-A4CE-03D25F5EC46E}"/>
    <hyperlink ref="G89" r:id="rId53" xr:uid="{884F2D6A-E4BD-445C-B23C-039B138D7C14}"/>
    <hyperlink ref="G91" r:id="rId54" xr:uid="{057BE411-6D5A-4CEF-811A-6A4C2EA27C36}"/>
    <hyperlink ref="G92" r:id="rId55" xr:uid="{A65B4445-BA6E-44B8-9818-118A6837DA9E}"/>
    <hyperlink ref="G93" r:id="rId56" xr:uid="{403EA013-EB29-4596-8554-169E87472D91}"/>
    <hyperlink ref="G95" r:id="rId57" xr:uid="{2D9CB6F3-2700-4BD5-8352-F29DEA9A5FD4}"/>
  </hyperlinks>
  <pageMargins left="0.7" right="0.7" top="0.75" bottom="0.75" header="0.3" footer="0.3"/>
  <pageSetup paperSize="9" orientation="portrait" r:id="rId58"/>
  <legacy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C8B0-BF42-4589-889F-8B57C59AE7C5}">
  <dimension ref="A2:X138"/>
  <sheetViews>
    <sheetView tabSelected="1" zoomScale="85" zoomScaleNormal="85" workbookViewId="0">
      <selection activeCell="C10" sqref="C10"/>
    </sheetView>
  </sheetViews>
  <sheetFormatPr defaultRowHeight="14.4" x14ac:dyDescent="0.3"/>
  <cols>
    <col min="2" max="2" width="23.33203125" customWidth="1"/>
    <col min="3" max="3" width="42.33203125" bestFit="1" customWidth="1"/>
    <col min="4" max="4" width="22.5546875" customWidth="1"/>
    <col min="5" max="5" width="99.88671875" bestFit="1" customWidth="1"/>
    <col min="6" max="6" width="26.88671875" customWidth="1"/>
    <col min="7" max="7" width="20.5546875" customWidth="1"/>
    <col min="8" max="8" width="37.44140625" bestFit="1" customWidth="1"/>
    <col min="9" max="9" width="10.88671875" customWidth="1"/>
    <col min="10" max="10" width="17.33203125" bestFit="1" customWidth="1"/>
    <col min="11" max="11" width="14" customWidth="1"/>
    <col min="12" max="12" width="14.33203125" bestFit="1" customWidth="1"/>
    <col min="13" max="13" width="30" bestFit="1" customWidth="1"/>
    <col min="14" max="14" width="14.6640625" customWidth="1"/>
    <col min="15" max="15" width="29.5546875" bestFit="1" customWidth="1"/>
    <col min="16" max="16" width="22.109375" bestFit="1" customWidth="1"/>
    <col min="17" max="17" width="2.88671875" customWidth="1"/>
    <col min="18" max="18" width="11.77734375" customWidth="1"/>
    <col min="19" max="19" width="29.5546875" bestFit="1" customWidth="1"/>
    <col min="20" max="20" width="16.5546875" bestFit="1" customWidth="1"/>
    <col min="21" max="21" width="3.6640625" customWidth="1"/>
    <col min="23" max="23" width="24.77734375" customWidth="1"/>
    <col min="24" max="24" width="17.33203125" customWidth="1"/>
  </cols>
  <sheetData>
    <row r="2" spans="2:24" ht="15" thickBot="1" x14ac:dyDescent="0.35"/>
    <row r="3" spans="2:24" ht="15" thickBot="1" x14ac:dyDescent="0.35">
      <c r="B3" s="125" t="s">
        <v>783</v>
      </c>
      <c r="C3" s="126" t="s">
        <v>203</v>
      </c>
      <c r="D3" s="126" t="s">
        <v>204</v>
      </c>
      <c r="E3" s="126" t="s">
        <v>0</v>
      </c>
      <c r="F3" s="126" t="s">
        <v>215</v>
      </c>
      <c r="G3" s="126" t="s">
        <v>1</v>
      </c>
      <c r="H3" s="126" t="s">
        <v>2</v>
      </c>
      <c r="I3" s="126" t="s">
        <v>3</v>
      </c>
      <c r="J3" s="126" t="s">
        <v>782</v>
      </c>
      <c r="K3" s="125">
        <v>2023</v>
      </c>
      <c r="L3" s="126">
        <v>2024</v>
      </c>
      <c r="M3" s="127" t="s">
        <v>199</v>
      </c>
      <c r="N3" s="125">
        <v>2025</v>
      </c>
      <c r="O3" s="125" t="s">
        <v>211</v>
      </c>
      <c r="P3" s="128" t="s">
        <v>209</v>
      </c>
      <c r="Q3" s="125"/>
      <c r="R3" s="202">
        <v>2026</v>
      </c>
      <c r="S3" s="203" t="s">
        <v>371</v>
      </c>
      <c r="T3" s="202" t="s">
        <v>570</v>
      </c>
      <c r="U3" s="212"/>
      <c r="V3" s="217">
        <v>2027</v>
      </c>
      <c r="W3" s="149" t="s">
        <v>623</v>
      </c>
      <c r="X3" s="218" t="s">
        <v>570</v>
      </c>
    </row>
    <row r="4" spans="2:24" x14ac:dyDescent="0.3">
      <c r="B4" s="80">
        <v>1</v>
      </c>
      <c r="C4" s="11" t="s">
        <v>4</v>
      </c>
      <c r="D4" s="46" t="s">
        <v>16</v>
      </c>
      <c r="E4" s="11" t="s">
        <v>707</v>
      </c>
      <c r="F4" s="46" t="s">
        <v>708</v>
      </c>
      <c r="G4" s="47">
        <v>928035863</v>
      </c>
      <c r="H4" s="131" t="s">
        <v>415</v>
      </c>
      <c r="I4" s="46" t="s">
        <v>42</v>
      </c>
      <c r="J4" s="46"/>
      <c r="K4" s="21">
        <v>25</v>
      </c>
      <c r="L4" s="27">
        <v>0</v>
      </c>
      <c r="M4" s="28" t="s">
        <v>148</v>
      </c>
      <c r="N4" s="62">
        <v>0</v>
      </c>
      <c r="O4" s="21" t="s">
        <v>148</v>
      </c>
      <c r="P4" s="21" t="s">
        <v>148</v>
      </c>
      <c r="Q4" s="140"/>
      <c r="R4" s="204" t="s">
        <v>148</v>
      </c>
      <c r="S4" s="205" t="s">
        <v>148</v>
      </c>
      <c r="T4" s="204" t="s">
        <v>148</v>
      </c>
      <c r="U4" s="213"/>
      <c r="V4" s="219"/>
      <c r="W4" s="26"/>
      <c r="X4" s="148"/>
    </row>
    <row r="5" spans="2:24" x14ac:dyDescent="0.3">
      <c r="B5" s="3">
        <v>2</v>
      </c>
      <c r="C5" s="1" t="s">
        <v>5</v>
      </c>
      <c r="D5" s="2" t="s">
        <v>16</v>
      </c>
      <c r="E5" s="11" t="s">
        <v>707</v>
      </c>
      <c r="F5" s="46" t="s">
        <v>708</v>
      </c>
      <c r="G5" s="12">
        <v>915766530</v>
      </c>
      <c r="H5" s="130" t="s">
        <v>414</v>
      </c>
      <c r="I5" s="2" t="s">
        <v>42</v>
      </c>
      <c r="J5" s="2"/>
      <c r="K5" s="22">
        <v>0</v>
      </c>
      <c r="L5" s="29">
        <v>0</v>
      </c>
      <c r="M5" s="36" t="s">
        <v>148</v>
      </c>
      <c r="N5" s="60">
        <v>0</v>
      </c>
      <c r="O5" s="21" t="s">
        <v>148</v>
      </c>
      <c r="P5" s="21" t="s">
        <v>148</v>
      </c>
      <c r="Q5" s="140"/>
      <c r="R5" s="180" t="s">
        <v>148</v>
      </c>
      <c r="S5" s="178" t="s">
        <v>148</v>
      </c>
      <c r="T5" s="180" t="s">
        <v>148</v>
      </c>
      <c r="U5" s="214"/>
      <c r="V5" s="219"/>
      <c r="W5" s="26"/>
      <c r="X5" s="148"/>
    </row>
    <row r="6" spans="2:24" x14ac:dyDescent="0.3">
      <c r="B6" s="3">
        <v>3</v>
      </c>
      <c r="C6" s="1" t="s">
        <v>6</v>
      </c>
      <c r="D6" s="2" t="s">
        <v>16</v>
      </c>
      <c r="E6" s="1" t="s">
        <v>710</v>
      </c>
      <c r="F6" s="2" t="s">
        <v>709</v>
      </c>
      <c r="G6" s="12">
        <v>962555873</v>
      </c>
      <c r="H6" s="130" t="s">
        <v>726</v>
      </c>
      <c r="I6" s="2" t="s">
        <v>42</v>
      </c>
      <c r="J6" s="2"/>
      <c r="K6" s="22">
        <v>0</v>
      </c>
      <c r="L6" s="29">
        <v>0</v>
      </c>
      <c r="M6" s="36" t="s">
        <v>148</v>
      </c>
      <c r="N6" s="60">
        <v>0</v>
      </c>
      <c r="O6" s="21" t="s">
        <v>148</v>
      </c>
      <c r="P6" s="21" t="s">
        <v>148</v>
      </c>
      <c r="Q6" s="140"/>
      <c r="R6" s="180" t="s">
        <v>148</v>
      </c>
      <c r="S6" s="178" t="s">
        <v>148</v>
      </c>
      <c r="T6" s="180" t="s">
        <v>148</v>
      </c>
      <c r="U6" s="214"/>
      <c r="V6" s="219"/>
      <c r="W6" s="26"/>
      <c r="X6" s="148"/>
    </row>
    <row r="7" spans="2:24" x14ac:dyDescent="0.3">
      <c r="B7" s="3">
        <v>4</v>
      </c>
      <c r="C7" s="1" t="s">
        <v>7</v>
      </c>
      <c r="D7" s="2" t="s">
        <v>16</v>
      </c>
      <c r="E7" s="1" t="s">
        <v>719</v>
      </c>
      <c r="F7" s="2" t="s">
        <v>722</v>
      </c>
      <c r="G7" s="12">
        <v>910149702</v>
      </c>
      <c r="H7" s="130" t="s">
        <v>725</v>
      </c>
      <c r="I7" s="2" t="s">
        <v>42</v>
      </c>
      <c r="J7" s="2"/>
      <c r="K7" s="22">
        <v>0</v>
      </c>
      <c r="L7" s="29">
        <v>0</v>
      </c>
      <c r="M7" s="36" t="s">
        <v>148</v>
      </c>
      <c r="N7" s="60">
        <v>0</v>
      </c>
      <c r="O7" s="21" t="s">
        <v>148</v>
      </c>
      <c r="P7" s="21" t="s">
        <v>148</v>
      </c>
      <c r="Q7" s="140"/>
      <c r="R7" s="180" t="s">
        <v>148</v>
      </c>
      <c r="S7" s="178" t="s">
        <v>148</v>
      </c>
      <c r="T7" s="180" t="s">
        <v>148</v>
      </c>
      <c r="U7" s="214"/>
      <c r="V7" s="219"/>
      <c r="W7" s="26"/>
      <c r="X7" s="148"/>
    </row>
    <row r="8" spans="2:24" x14ac:dyDescent="0.3">
      <c r="B8" s="3">
        <v>5</v>
      </c>
      <c r="C8" s="1" t="s">
        <v>711</v>
      </c>
      <c r="D8" s="2" t="s">
        <v>16</v>
      </c>
      <c r="E8" s="1" t="s">
        <v>719</v>
      </c>
      <c r="F8" s="2" t="s">
        <v>722</v>
      </c>
      <c r="G8" s="12">
        <v>964114499</v>
      </c>
      <c r="H8" s="130" t="s">
        <v>713</v>
      </c>
      <c r="I8" s="2" t="s">
        <v>42</v>
      </c>
      <c r="J8" s="2"/>
      <c r="K8" s="22">
        <v>0</v>
      </c>
      <c r="L8" s="29">
        <v>0</v>
      </c>
      <c r="M8" s="36" t="s">
        <v>148</v>
      </c>
      <c r="N8" s="60">
        <v>0</v>
      </c>
      <c r="O8" s="21" t="s">
        <v>148</v>
      </c>
      <c r="P8" s="21" t="s">
        <v>148</v>
      </c>
      <c r="Q8" s="140"/>
      <c r="R8" s="180" t="s">
        <v>148</v>
      </c>
      <c r="S8" s="178" t="s">
        <v>148</v>
      </c>
      <c r="T8" s="180" t="s">
        <v>148</v>
      </c>
      <c r="U8" s="214"/>
      <c r="V8" s="219"/>
      <c r="W8" s="26"/>
      <c r="X8" s="148"/>
    </row>
    <row r="9" spans="2:24" x14ac:dyDescent="0.3">
      <c r="B9" s="3">
        <v>6</v>
      </c>
      <c r="C9" s="1" t="s">
        <v>715</v>
      </c>
      <c r="D9" s="2" t="s">
        <v>16</v>
      </c>
      <c r="E9" s="1" t="s">
        <v>721</v>
      </c>
      <c r="F9" s="2" t="s">
        <v>723</v>
      </c>
      <c r="G9" s="12">
        <v>966673019</v>
      </c>
      <c r="H9" s="130" t="s">
        <v>714</v>
      </c>
      <c r="I9" s="2" t="s">
        <v>42</v>
      </c>
      <c r="J9" s="2"/>
      <c r="K9" s="22">
        <v>0</v>
      </c>
      <c r="L9" s="29">
        <v>0</v>
      </c>
      <c r="M9" s="36" t="s">
        <v>148</v>
      </c>
      <c r="N9" s="60">
        <v>0</v>
      </c>
      <c r="O9" s="21" t="s">
        <v>148</v>
      </c>
      <c r="P9" s="21" t="s">
        <v>148</v>
      </c>
      <c r="Q9" s="140"/>
      <c r="R9" s="180" t="s">
        <v>148</v>
      </c>
      <c r="S9" s="178" t="s">
        <v>148</v>
      </c>
      <c r="T9" s="180" t="s">
        <v>148</v>
      </c>
      <c r="U9" s="214"/>
      <c r="V9" s="219"/>
      <c r="W9" s="26"/>
      <c r="X9" s="148"/>
    </row>
    <row r="10" spans="2:24" x14ac:dyDescent="0.3">
      <c r="B10" s="3">
        <v>7</v>
      </c>
      <c r="C10" s="165" t="s">
        <v>716</v>
      </c>
      <c r="D10" s="2" t="s">
        <v>16</v>
      </c>
      <c r="E10" s="1" t="s">
        <v>721</v>
      </c>
      <c r="F10" s="2" t="s">
        <v>723</v>
      </c>
      <c r="G10" s="12">
        <v>965795779</v>
      </c>
      <c r="H10" s="130" t="s">
        <v>736</v>
      </c>
      <c r="I10" s="2" t="s">
        <v>42</v>
      </c>
      <c r="J10" s="2"/>
      <c r="K10" s="22">
        <v>0</v>
      </c>
      <c r="L10" s="29">
        <v>0</v>
      </c>
      <c r="M10" s="36" t="s">
        <v>148</v>
      </c>
      <c r="N10" s="60">
        <v>0</v>
      </c>
      <c r="O10" s="21" t="s">
        <v>148</v>
      </c>
      <c r="P10" s="21" t="s">
        <v>148</v>
      </c>
      <c r="Q10" s="140"/>
      <c r="R10" s="180" t="s">
        <v>148</v>
      </c>
      <c r="S10" s="178" t="s">
        <v>148</v>
      </c>
      <c r="T10" s="180" t="s">
        <v>148</v>
      </c>
      <c r="U10" s="214"/>
      <c r="V10" s="219"/>
      <c r="W10" s="26"/>
      <c r="X10" s="148"/>
    </row>
    <row r="11" spans="2:24" x14ac:dyDescent="0.3">
      <c r="B11" s="3">
        <v>8</v>
      </c>
      <c r="C11" s="1" t="s">
        <v>11</v>
      </c>
      <c r="D11" s="2" t="s">
        <v>16</v>
      </c>
      <c r="E11" s="1" t="s">
        <v>720</v>
      </c>
      <c r="F11" s="2" t="s">
        <v>724</v>
      </c>
      <c r="G11" s="12">
        <v>962430662</v>
      </c>
      <c r="H11" s="130" t="s">
        <v>712</v>
      </c>
      <c r="I11" s="2" t="s">
        <v>42</v>
      </c>
      <c r="J11" s="2"/>
      <c r="K11" s="22">
        <v>0</v>
      </c>
      <c r="L11" s="29">
        <v>0</v>
      </c>
      <c r="M11" s="36" t="s">
        <v>148</v>
      </c>
      <c r="N11" s="60">
        <v>0</v>
      </c>
      <c r="O11" s="21" t="s">
        <v>148</v>
      </c>
      <c r="P11" s="21" t="s">
        <v>148</v>
      </c>
      <c r="Q11" s="140"/>
      <c r="R11" s="180" t="s">
        <v>148</v>
      </c>
      <c r="S11" s="178" t="s">
        <v>148</v>
      </c>
      <c r="T11" s="180" t="s">
        <v>148</v>
      </c>
      <c r="U11" s="214"/>
      <c r="V11" s="219"/>
      <c r="W11" s="26"/>
      <c r="X11" s="148"/>
    </row>
    <row r="12" spans="2:24" x14ac:dyDescent="0.3">
      <c r="B12" s="3">
        <v>9</v>
      </c>
      <c r="C12" s="165" t="s">
        <v>717</v>
      </c>
      <c r="D12" s="2" t="s">
        <v>16</v>
      </c>
      <c r="E12" s="1" t="s">
        <v>720</v>
      </c>
      <c r="F12" s="2" t="s">
        <v>724</v>
      </c>
      <c r="G12" s="12">
        <v>914850467</v>
      </c>
      <c r="H12" s="130" t="s">
        <v>735</v>
      </c>
      <c r="I12" s="2" t="s">
        <v>42</v>
      </c>
      <c r="J12" s="2"/>
      <c r="K12" s="22">
        <v>0</v>
      </c>
      <c r="L12" s="29">
        <v>0</v>
      </c>
      <c r="M12" s="36" t="s">
        <v>148</v>
      </c>
      <c r="N12" s="60">
        <v>0</v>
      </c>
      <c r="O12" s="21" t="s">
        <v>148</v>
      </c>
      <c r="P12" s="21" t="s">
        <v>148</v>
      </c>
      <c r="Q12" s="140"/>
      <c r="R12" s="180" t="s">
        <v>148</v>
      </c>
      <c r="S12" s="178" t="s">
        <v>148</v>
      </c>
      <c r="T12" s="180" t="s">
        <v>148</v>
      </c>
      <c r="U12" s="214"/>
      <c r="V12" s="219"/>
      <c r="W12" s="26"/>
      <c r="X12" s="148"/>
    </row>
    <row r="13" spans="2:24" x14ac:dyDescent="0.3">
      <c r="B13" s="3">
        <v>10</v>
      </c>
      <c r="C13" s="166" t="s">
        <v>718</v>
      </c>
      <c r="D13" s="2" t="s">
        <v>16</v>
      </c>
      <c r="E13" s="1" t="s">
        <v>720</v>
      </c>
      <c r="F13" s="2" t="s">
        <v>724</v>
      </c>
      <c r="G13" s="12">
        <v>913374871</v>
      </c>
      <c r="H13" s="130" t="s">
        <v>727</v>
      </c>
      <c r="I13" s="2" t="s">
        <v>42</v>
      </c>
      <c r="J13" s="2"/>
      <c r="K13" s="22">
        <v>0</v>
      </c>
      <c r="L13" s="29">
        <v>0</v>
      </c>
      <c r="M13" s="36" t="s">
        <v>148</v>
      </c>
      <c r="N13" s="60">
        <v>0</v>
      </c>
      <c r="O13" s="21" t="s">
        <v>148</v>
      </c>
      <c r="P13" s="21" t="s">
        <v>148</v>
      </c>
      <c r="Q13" s="140"/>
      <c r="R13" s="180" t="s">
        <v>148</v>
      </c>
      <c r="S13" s="178" t="s">
        <v>148</v>
      </c>
      <c r="T13" s="180" t="s">
        <v>148</v>
      </c>
      <c r="U13" s="214"/>
      <c r="V13" s="219"/>
      <c r="W13" s="26"/>
      <c r="X13" s="148"/>
    </row>
    <row r="14" spans="2:24" x14ac:dyDescent="0.3">
      <c r="B14" s="3">
        <v>11</v>
      </c>
      <c r="C14" s="9" t="s">
        <v>120</v>
      </c>
      <c r="D14" s="2" t="s">
        <v>18</v>
      </c>
      <c r="E14" s="1" t="s">
        <v>250</v>
      </c>
      <c r="F14" s="2" t="s">
        <v>251</v>
      </c>
      <c r="G14" s="13">
        <v>21998088986</v>
      </c>
      <c r="H14" s="68" t="s">
        <v>121</v>
      </c>
      <c r="I14" s="2" t="s">
        <v>20</v>
      </c>
      <c r="J14" s="6"/>
      <c r="K14" s="22"/>
      <c r="L14" s="29">
        <v>25</v>
      </c>
      <c r="M14" s="30" t="s">
        <v>198</v>
      </c>
      <c r="N14" s="60">
        <v>19.93</v>
      </c>
      <c r="O14" s="22" t="s">
        <v>212</v>
      </c>
      <c r="P14" s="95" t="s">
        <v>261</v>
      </c>
      <c r="Q14" s="141"/>
      <c r="R14" s="181">
        <v>25</v>
      </c>
      <c r="S14" s="187" t="s">
        <v>586</v>
      </c>
      <c r="T14" s="191" t="s">
        <v>587</v>
      </c>
      <c r="U14" s="214"/>
      <c r="V14" s="219"/>
      <c r="W14" s="26"/>
      <c r="X14" s="148"/>
    </row>
    <row r="15" spans="2:24" x14ac:dyDescent="0.3">
      <c r="B15" s="3">
        <v>12</v>
      </c>
      <c r="C15" s="9" t="s">
        <v>86</v>
      </c>
      <c r="D15" s="2" t="s">
        <v>18</v>
      </c>
      <c r="E15" s="1" t="s">
        <v>30</v>
      </c>
      <c r="F15" s="2" t="s">
        <v>228</v>
      </c>
      <c r="G15" s="12">
        <v>48999828560</v>
      </c>
      <c r="H15" s="69" t="s">
        <v>31</v>
      </c>
      <c r="I15" s="2" t="s">
        <v>20</v>
      </c>
      <c r="J15" s="2"/>
      <c r="K15" s="22">
        <v>25</v>
      </c>
      <c r="L15" s="31">
        <v>20.73</v>
      </c>
      <c r="M15" s="30" t="s">
        <v>200</v>
      </c>
      <c r="N15" s="60">
        <v>19.91</v>
      </c>
      <c r="O15" s="22" t="s">
        <v>212</v>
      </c>
      <c r="P15" s="95" t="s">
        <v>262</v>
      </c>
      <c r="Q15" s="141"/>
      <c r="R15" s="181">
        <v>25</v>
      </c>
      <c r="S15" s="187" t="s">
        <v>586</v>
      </c>
      <c r="T15" s="191" t="s">
        <v>686</v>
      </c>
      <c r="U15" s="214"/>
      <c r="V15" s="219"/>
      <c r="W15" s="26"/>
      <c r="X15" s="148"/>
    </row>
    <row r="16" spans="2:24" x14ac:dyDescent="0.3">
      <c r="B16" s="3">
        <v>13</v>
      </c>
      <c r="C16" s="66" t="s">
        <v>24</v>
      </c>
      <c r="D16" s="2" t="s">
        <v>18</v>
      </c>
      <c r="E16" s="1" t="s">
        <v>28</v>
      </c>
      <c r="F16" s="2" t="s">
        <v>233</v>
      </c>
      <c r="G16" s="12">
        <v>5548984128990</v>
      </c>
      <c r="H16" s="69" t="s">
        <v>29</v>
      </c>
      <c r="I16" s="2" t="s">
        <v>20</v>
      </c>
      <c r="J16" s="2"/>
      <c r="K16" s="22">
        <v>25</v>
      </c>
      <c r="L16" s="31">
        <v>20.16</v>
      </c>
      <c r="M16" s="30" t="s">
        <v>200</v>
      </c>
      <c r="N16" s="60">
        <v>20.010000000000002</v>
      </c>
      <c r="O16" s="22" t="s">
        <v>212</v>
      </c>
      <c r="P16" s="95" t="s">
        <v>263</v>
      </c>
      <c r="Q16" s="141"/>
      <c r="R16" s="181">
        <v>25</v>
      </c>
      <c r="S16" s="187" t="s">
        <v>586</v>
      </c>
      <c r="T16" s="191" t="s">
        <v>694</v>
      </c>
      <c r="U16" s="214"/>
      <c r="V16" s="219"/>
      <c r="W16" s="26"/>
      <c r="X16" s="148"/>
    </row>
    <row r="17" spans="2:24" x14ac:dyDescent="0.3">
      <c r="B17" s="3">
        <v>14</v>
      </c>
      <c r="C17" s="9" t="s">
        <v>145</v>
      </c>
      <c r="D17" s="7" t="s">
        <v>18</v>
      </c>
      <c r="E17" s="9" t="s">
        <v>260</v>
      </c>
      <c r="F17" s="7">
        <v>58038411</v>
      </c>
      <c r="G17" s="14">
        <v>5583994446288</v>
      </c>
      <c r="H17" s="68" t="s">
        <v>146</v>
      </c>
      <c r="I17" s="7" t="s">
        <v>20</v>
      </c>
      <c r="J17" s="7"/>
      <c r="K17" s="22"/>
      <c r="L17" s="29">
        <v>25</v>
      </c>
      <c r="M17" s="30" t="s">
        <v>198</v>
      </c>
      <c r="N17" s="60">
        <v>20.329999999999998</v>
      </c>
      <c r="O17" s="22" t="s">
        <v>212</v>
      </c>
      <c r="P17" s="95" t="s">
        <v>264</v>
      </c>
      <c r="Q17" s="141"/>
      <c r="R17" s="181">
        <v>25</v>
      </c>
      <c r="S17" s="187" t="s">
        <v>586</v>
      </c>
      <c r="T17" s="191" t="s">
        <v>693</v>
      </c>
      <c r="U17" s="214"/>
      <c r="V17" s="219"/>
      <c r="W17" s="26"/>
      <c r="X17" s="148"/>
    </row>
    <row r="18" spans="2:24" x14ac:dyDescent="0.3">
      <c r="B18" s="3">
        <v>15</v>
      </c>
      <c r="C18" s="9" t="s">
        <v>46</v>
      </c>
      <c r="D18" s="2" t="s">
        <v>18</v>
      </c>
      <c r="E18" s="1" t="s">
        <v>236</v>
      </c>
      <c r="F18" s="2" t="s">
        <v>237</v>
      </c>
      <c r="G18" s="12">
        <v>5548999724819</v>
      </c>
      <c r="H18" s="69" t="s">
        <v>47</v>
      </c>
      <c r="I18" s="2" t="s">
        <v>20</v>
      </c>
      <c r="J18" s="2"/>
      <c r="K18" s="22">
        <v>25</v>
      </c>
      <c r="L18" s="29">
        <v>20.94</v>
      </c>
      <c r="M18" s="30" t="s">
        <v>200</v>
      </c>
      <c r="N18" s="60">
        <v>19.88</v>
      </c>
      <c r="O18" s="22" t="s">
        <v>212</v>
      </c>
      <c r="P18" s="95" t="s">
        <v>265</v>
      </c>
      <c r="Q18" s="141"/>
      <c r="R18" s="181">
        <v>25</v>
      </c>
      <c r="S18" s="187" t="s">
        <v>586</v>
      </c>
      <c r="T18" s="191" t="s">
        <v>740</v>
      </c>
      <c r="U18" s="214"/>
      <c r="V18" s="219"/>
      <c r="W18" s="26"/>
      <c r="X18" s="148"/>
    </row>
    <row r="19" spans="2:24" x14ac:dyDescent="0.3">
      <c r="B19" s="3">
        <v>16</v>
      </c>
      <c r="C19" s="9" t="s">
        <v>14</v>
      </c>
      <c r="D19" s="2" t="s">
        <v>18</v>
      </c>
      <c r="E19" s="1" t="s">
        <v>254</v>
      </c>
      <c r="F19" s="2" t="s">
        <v>255</v>
      </c>
      <c r="G19" s="12">
        <v>5548988434679</v>
      </c>
      <c r="H19" s="70" t="s">
        <v>90</v>
      </c>
      <c r="I19" s="2" t="s">
        <v>20</v>
      </c>
      <c r="J19" s="2"/>
      <c r="K19" s="22">
        <v>25</v>
      </c>
      <c r="L19" s="29">
        <v>21.07</v>
      </c>
      <c r="M19" s="30" t="s">
        <v>200</v>
      </c>
      <c r="N19" s="60">
        <v>23.94</v>
      </c>
      <c r="O19" s="22" t="s">
        <v>212</v>
      </c>
      <c r="P19" s="95" t="s">
        <v>266</v>
      </c>
      <c r="Q19" s="141"/>
      <c r="R19" s="181">
        <v>25</v>
      </c>
      <c r="S19" s="187" t="s">
        <v>571</v>
      </c>
      <c r="T19" s="191" t="s">
        <v>667</v>
      </c>
      <c r="U19" s="214"/>
      <c r="V19" s="219"/>
      <c r="W19" s="26"/>
      <c r="X19" s="148"/>
    </row>
    <row r="20" spans="2:24" x14ac:dyDescent="0.3">
      <c r="B20" s="3">
        <v>17</v>
      </c>
      <c r="C20" s="9" t="s">
        <v>138</v>
      </c>
      <c r="D20" s="7" t="s">
        <v>18</v>
      </c>
      <c r="E20" s="9" t="s">
        <v>139</v>
      </c>
      <c r="F20" s="7">
        <v>40130030</v>
      </c>
      <c r="G20" s="14" t="s">
        <v>140</v>
      </c>
      <c r="H20" s="68" t="s">
        <v>141</v>
      </c>
      <c r="I20" s="7" t="s">
        <v>20</v>
      </c>
      <c r="J20" s="7"/>
      <c r="K20" s="22">
        <v>0</v>
      </c>
      <c r="L20" s="29">
        <v>25</v>
      </c>
      <c r="M20" s="30" t="s">
        <v>198</v>
      </c>
      <c r="N20" s="60">
        <v>20.04</v>
      </c>
      <c r="O20" s="22" t="s">
        <v>212</v>
      </c>
      <c r="P20" s="95" t="s">
        <v>267</v>
      </c>
      <c r="Q20" s="141"/>
      <c r="R20" s="181">
        <v>25</v>
      </c>
      <c r="S20" s="187" t="s">
        <v>571</v>
      </c>
      <c r="T20" s="191" t="s">
        <v>665</v>
      </c>
      <c r="U20" s="214"/>
      <c r="V20" s="219"/>
      <c r="W20" s="26"/>
      <c r="X20" s="148"/>
    </row>
    <row r="21" spans="2:24" x14ac:dyDescent="0.3">
      <c r="B21" s="3">
        <v>18</v>
      </c>
      <c r="C21" s="9" t="s">
        <v>142</v>
      </c>
      <c r="D21" s="7" t="s">
        <v>18</v>
      </c>
      <c r="E21" s="9" t="s">
        <v>143</v>
      </c>
      <c r="F21" s="7" t="s">
        <v>253</v>
      </c>
      <c r="G21" s="14">
        <v>5516999934684</v>
      </c>
      <c r="H21" s="69" t="s">
        <v>144</v>
      </c>
      <c r="I21" s="7" t="s">
        <v>20</v>
      </c>
      <c r="J21" s="7"/>
      <c r="K21" s="22">
        <v>0</v>
      </c>
      <c r="L21" s="29">
        <v>25</v>
      </c>
      <c r="M21" s="30" t="s">
        <v>198</v>
      </c>
      <c r="N21" s="60">
        <v>19.899999999999999</v>
      </c>
      <c r="O21" s="22" t="s">
        <v>212</v>
      </c>
      <c r="P21" s="95" t="s">
        <v>268</v>
      </c>
      <c r="Q21" s="141"/>
      <c r="R21" s="181">
        <v>25</v>
      </c>
      <c r="S21" s="187" t="s">
        <v>571</v>
      </c>
      <c r="T21" s="191" t="s">
        <v>611</v>
      </c>
      <c r="U21" s="214"/>
      <c r="V21" s="219"/>
      <c r="W21" s="26"/>
      <c r="X21" s="148"/>
    </row>
    <row r="22" spans="2:24" x14ac:dyDescent="0.3">
      <c r="B22" s="3">
        <v>19</v>
      </c>
      <c r="C22" s="66" t="s">
        <v>127</v>
      </c>
      <c r="D22" s="7" t="s">
        <v>18</v>
      </c>
      <c r="E22" s="9" t="s">
        <v>125</v>
      </c>
      <c r="F22" s="7" t="s">
        <v>234</v>
      </c>
      <c r="G22" s="14">
        <v>5511971674407</v>
      </c>
      <c r="H22" s="68" t="s">
        <v>126</v>
      </c>
      <c r="I22" s="7" t="s">
        <v>20</v>
      </c>
      <c r="J22" s="7"/>
      <c r="K22" s="22">
        <v>0</v>
      </c>
      <c r="L22" s="29">
        <v>25</v>
      </c>
      <c r="M22" s="30" t="s">
        <v>198</v>
      </c>
      <c r="N22" s="60">
        <v>20.09</v>
      </c>
      <c r="O22" s="22" t="s">
        <v>212</v>
      </c>
      <c r="P22" s="95" t="s">
        <v>269</v>
      </c>
      <c r="Q22" s="141"/>
      <c r="R22" s="181">
        <v>25</v>
      </c>
      <c r="S22" s="187" t="s">
        <v>571</v>
      </c>
      <c r="T22" s="191" t="s">
        <v>691</v>
      </c>
      <c r="U22" s="214"/>
      <c r="V22" s="219"/>
      <c r="W22" s="26"/>
      <c r="X22" s="148"/>
    </row>
    <row r="23" spans="2:24" x14ac:dyDescent="0.3">
      <c r="B23" s="3">
        <v>20</v>
      </c>
      <c r="C23" s="66" t="s">
        <v>15</v>
      </c>
      <c r="D23" s="2" t="s">
        <v>18</v>
      </c>
      <c r="E23" s="1" t="s">
        <v>34</v>
      </c>
      <c r="F23" s="2" t="s">
        <v>252</v>
      </c>
      <c r="G23" s="12">
        <v>5591981483434</v>
      </c>
      <c r="H23" s="69" t="s">
        <v>35</v>
      </c>
      <c r="I23" s="2" t="s">
        <v>20</v>
      </c>
      <c r="J23" s="2"/>
      <c r="K23" s="22">
        <v>25</v>
      </c>
      <c r="L23" s="29">
        <v>20.94</v>
      </c>
      <c r="M23" s="30" t="s">
        <v>200</v>
      </c>
      <c r="N23" s="60">
        <v>25</v>
      </c>
      <c r="O23" s="22" t="s">
        <v>214</v>
      </c>
      <c r="P23" s="95" t="s">
        <v>270</v>
      </c>
      <c r="Q23" s="141"/>
      <c r="R23" s="181">
        <v>25</v>
      </c>
      <c r="S23" s="187" t="s">
        <v>571</v>
      </c>
      <c r="T23" s="191" t="s">
        <v>704</v>
      </c>
      <c r="U23" s="214"/>
      <c r="V23" s="219"/>
      <c r="W23" s="26"/>
      <c r="X23" s="148"/>
    </row>
    <row r="24" spans="2:24" x14ac:dyDescent="0.3">
      <c r="B24" s="3">
        <v>21</v>
      </c>
      <c r="C24" s="161" t="s">
        <v>150</v>
      </c>
      <c r="D24" s="7" t="s">
        <v>18</v>
      </c>
      <c r="E24" s="9" t="s">
        <v>730</v>
      </c>
      <c r="F24" s="7">
        <v>8504</v>
      </c>
      <c r="G24" s="14">
        <v>542920474418</v>
      </c>
      <c r="H24" s="68" t="s">
        <v>152</v>
      </c>
      <c r="I24" s="9" t="s">
        <v>153</v>
      </c>
      <c r="J24" s="9"/>
      <c r="K24" s="23">
        <v>0</v>
      </c>
      <c r="L24" s="31">
        <v>0</v>
      </c>
      <c r="M24" s="48" t="s">
        <v>148</v>
      </c>
      <c r="N24" s="60">
        <v>25</v>
      </c>
      <c r="O24" s="23" t="s">
        <v>411</v>
      </c>
      <c r="P24" s="56" t="s">
        <v>410</v>
      </c>
      <c r="Q24" s="142"/>
      <c r="R24" s="182"/>
      <c r="S24" s="188"/>
      <c r="T24" s="192"/>
      <c r="U24" s="214"/>
      <c r="V24" s="219"/>
      <c r="W24" s="26"/>
      <c r="X24" s="148"/>
    </row>
    <row r="25" spans="2:24" x14ac:dyDescent="0.3">
      <c r="B25" s="3">
        <v>22</v>
      </c>
      <c r="C25" s="9" t="s">
        <v>157</v>
      </c>
      <c r="D25" s="7" t="s">
        <v>18</v>
      </c>
      <c r="E25" s="9" t="s">
        <v>412</v>
      </c>
      <c r="F25" s="7">
        <v>80904</v>
      </c>
      <c r="G25" s="14">
        <v>7192291703</v>
      </c>
      <c r="H25" s="71" t="s">
        <v>159</v>
      </c>
      <c r="I25" s="7" t="s">
        <v>39</v>
      </c>
      <c r="J25" s="7"/>
      <c r="K25" s="23">
        <v>0</v>
      </c>
      <c r="L25" s="31">
        <v>23.16</v>
      </c>
      <c r="M25" s="30" t="s">
        <v>200</v>
      </c>
      <c r="N25" s="60">
        <v>25</v>
      </c>
      <c r="O25" s="22" t="s">
        <v>212</v>
      </c>
      <c r="P25" s="95" t="s">
        <v>413</v>
      </c>
      <c r="Q25" s="141"/>
      <c r="R25" s="181">
        <v>25</v>
      </c>
      <c r="S25" s="179" t="s">
        <v>212</v>
      </c>
      <c r="T25" s="193"/>
      <c r="U25" s="214"/>
      <c r="V25" s="219"/>
      <c r="W25" s="26"/>
      <c r="X25" s="148"/>
    </row>
    <row r="26" spans="2:24" x14ac:dyDescent="0.3">
      <c r="B26" s="3">
        <v>23</v>
      </c>
      <c r="C26" s="161" t="s">
        <v>409</v>
      </c>
      <c r="D26" s="7" t="s">
        <v>18</v>
      </c>
      <c r="E26" s="9" t="s">
        <v>151</v>
      </c>
      <c r="F26" s="7">
        <v>8504</v>
      </c>
      <c r="G26" s="14">
        <v>5492920474418</v>
      </c>
      <c r="H26" s="68" t="s">
        <v>152</v>
      </c>
      <c r="I26" s="9" t="s">
        <v>153</v>
      </c>
      <c r="J26" s="9"/>
      <c r="K26" s="23">
        <v>0</v>
      </c>
      <c r="L26" s="31">
        <v>0</v>
      </c>
      <c r="M26" s="48" t="s">
        <v>148</v>
      </c>
      <c r="N26" s="60">
        <v>25</v>
      </c>
      <c r="O26" s="23" t="s">
        <v>411</v>
      </c>
      <c r="P26" s="56" t="s">
        <v>410</v>
      </c>
      <c r="Q26" s="142"/>
      <c r="R26" s="182"/>
      <c r="S26" s="188"/>
      <c r="T26" s="192"/>
      <c r="U26" s="214"/>
      <c r="V26" s="219"/>
      <c r="W26" s="26"/>
      <c r="X26" s="148"/>
    </row>
    <row r="27" spans="2:24" x14ac:dyDescent="0.3">
      <c r="B27" s="3">
        <v>24</v>
      </c>
      <c r="C27" s="9" t="s">
        <v>17</v>
      </c>
      <c r="D27" s="2" t="s">
        <v>18</v>
      </c>
      <c r="E27" s="1" t="s">
        <v>21</v>
      </c>
      <c r="F27" s="77">
        <v>74230140</v>
      </c>
      <c r="G27" s="12">
        <v>5562992637446</v>
      </c>
      <c r="H27" s="69" t="s">
        <v>19</v>
      </c>
      <c r="I27" s="1" t="s">
        <v>20</v>
      </c>
      <c r="J27" s="1"/>
      <c r="K27" s="22">
        <v>19.21</v>
      </c>
      <c r="L27" s="29">
        <v>21.05</v>
      </c>
      <c r="M27" s="30" t="s">
        <v>200</v>
      </c>
      <c r="N27" s="60">
        <v>20.010000000000002</v>
      </c>
      <c r="O27" s="22" t="s">
        <v>212</v>
      </c>
      <c r="P27" s="95" t="s">
        <v>271</v>
      </c>
      <c r="Q27" s="141"/>
      <c r="R27" s="181">
        <v>25</v>
      </c>
      <c r="S27" s="187" t="s">
        <v>571</v>
      </c>
      <c r="T27" s="191" t="s">
        <v>618</v>
      </c>
      <c r="U27" s="214"/>
      <c r="V27" s="219"/>
      <c r="W27" s="26"/>
      <c r="X27" s="148"/>
    </row>
    <row r="28" spans="2:24" x14ac:dyDescent="0.3">
      <c r="B28" s="3">
        <v>25</v>
      </c>
      <c r="C28" s="9" t="s">
        <v>25</v>
      </c>
      <c r="D28" s="2" t="s">
        <v>644</v>
      </c>
      <c r="E28" s="1" t="s">
        <v>26</v>
      </c>
      <c r="F28" s="2" t="s">
        <v>235</v>
      </c>
      <c r="G28" s="12">
        <v>5515997274631</v>
      </c>
      <c r="H28" s="68" t="s">
        <v>27</v>
      </c>
      <c r="I28" s="1" t="s">
        <v>20</v>
      </c>
      <c r="J28" s="1"/>
      <c r="K28" s="22">
        <v>24.21</v>
      </c>
      <c r="L28" s="31">
        <v>0</v>
      </c>
      <c r="M28" s="30" t="s">
        <v>200</v>
      </c>
      <c r="N28" s="60">
        <v>0</v>
      </c>
      <c r="O28" s="22" t="s">
        <v>148</v>
      </c>
      <c r="P28" s="96" t="s">
        <v>272</v>
      </c>
      <c r="Q28" s="143"/>
      <c r="R28" s="183" t="s">
        <v>148</v>
      </c>
      <c r="S28" s="187" t="s">
        <v>148</v>
      </c>
      <c r="T28" s="194" t="s">
        <v>148</v>
      </c>
      <c r="U28" s="214"/>
      <c r="V28" s="219"/>
      <c r="W28" s="26"/>
      <c r="X28" s="148"/>
    </row>
    <row r="29" spans="2:24" x14ac:dyDescent="0.3">
      <c r="B29" s="3">
        <v>26</v>
      </c>
      <c r="C29" s="66" t="s">
        <v>32</v>
      </c>
      <c r="D29" s="2" t="s">
        <v>18</v>
      </c>
      <c r="E29" s="1" t="s">
        <v>249</v>
      </c>
      <c r="F29" s="77">
        <v>38412885</v>
      </c>
      <c r="G29" s="12">
        <v>5534996709478</v>
      </c>
      <c r="H29" s="68" t="s">
        <v>33</v>
      </c>
      <c r="I29" s="1" t="s">
        <v>20</v>
      </c>
      <c r="J29" s="1"/>
      <c r="K29" s="22">
        <v>23.33</v>
      </c>
      <c r="L29" s="31">
        <v>21.05</v>
      </c>
      <c r="M29" s="30" t="s">
        <v>200</v>
      </c>
      <c r="N29" s="60">
        <v>20.14</v>
      </c>
      <c r="O29" s="22" t="s">
        <v>212</v>
      </c>
      <c r="P29" s="95" t="s">
        <v>273</v>
      </c>
      <c r="Q29" s="141"/>
      <c r="R29" s="181">
        <v>25</v>
      </c>
      <c r="S29" s="187" t="s">
        <v>571</v>
      </c>
      <c r="T29" s="191" t="s">
        <v>662</v>
      </c>
      <c r="U29" s="214"/>
      <c r="V29" s="219"/>
      <c r="W29" s="26"/>
      <c r="X29" s="148"/>
    </row>
    <row r="30" spans="2:24" x14ac:dyDescent="0.3">
      <c r="B30" s="3">
        <v>27</v>
      </c>
      <c r="C30" t="s">
        <v>206</v>
      </c>
      <c r="D30" s="7" t="s">
        <v>18</v>
      </c>
      <c r="E30" s="9" t="s">
        <v>207</v>
      </c>
      <c r="F30" s="7" t="s">
        <v>232</v>
      </c>
      <c r="G30" s="14">
        <v>939791920</v>
      </c>
      <c r="H30" s="68" t="s">
        <v>208</v>
      </c>
      <c r="I30" s="17" t="s">
        <v>42</v>
      </c>
      <c r="J30" s="17"/>
      <c r="K30" s="23">
        <v>0</v>
      </c>
      <c r="L30" s="31">
        <v>24.45</v>
      </c>
      <c r="M30" s="30" t="s">
        <v>200</v>
      </c>
      <c r="N30" s="60">
        <v>24.45</v>
      </c>
      <c r="O30" s="22" t="s">
        <v>212</v>
      </c>
      <c r="P30" s="95" t="s">
        <v>274</v>
      </c>
      <c r="Q30" s="141"/>
      <c r="R30" s="181">
        <v>25</v>
      </c>
      <c r="S30" s="187" t="s">
        <v>633</v>
      </c>
      <c r="T30" s="191" t="s">
        <v>634</v>
      </c>
      <c r="U30" s="214"/>
      <c r="V30" s="219"/>
      <c r="W30" s="26"/>
      <c r="X30" s="148"/>
    </row>
    <row r="31" spans="2:24" x14ac:dyDescent="0.3">
      <c r="B31" s="3">
        <v>28</v>
      </c>
      <c r="C31" s="9" t="s">
        <v>390</v>
      </c>
      <c r="D31" s="7" t="s">
        <v>18</v>
      </c>
      <c r="E31" s="9" t="s">
        <v>40</v>
      </c>
      <c r="F31" s="7" t="s">
        <v>218</v>
      </c>
      <c r="G31" s="14">
        <v>351967239825</v>
      </c>
      <c r="H31" s="68" t="s">
        <v>41</v>
      </c>
      <c r="I31" s="9" t="s">
        <v>42</v>
      </c>
      <c r="J31" s="9"/>
      <c r="K31" s="22">
        <v>25</v>
      </c>
      <c r="L31" s="31">
        <v>0</v>
      </c>
      <c r="M31" s="30" t="s">
        <v>148</v>
      </c>
      <c r="N31" s="60">
        <v>24.45</v>
      </c>
      <c r="O31" s="22" t="s">
        <v>212</v>
      </c>
      <c r="P31" s="95" t="s">
        <v>275</v>
      </c>
      <c r="Q31" s="141"/>
      <c r="R31" s="181">
        <f>12.5+12.5</f>
        <v>25</v>
      </c>
      <c r="S31" s="187" t="s">
        <v>655</v>
      </c>
      <c r="T31" s="191" t="s">
        <v>751</v>
      </c>
      <c r="U31" s="214"/>
      <c r="V31" s="219"/>
      <c r="W31" s="26"/>
      <c r="X31" s="148"/>
    </row>
    <row r="32" spans="2:24" x14ac:dyDescent="0.3">
      <c r="B32" s="3">
        <v>29</v>
      </c>
      <c r="C32" s="9" t="s">
        <v>43</v>
      </c>
      <c r="D32" s="2" t="s">
        <v>18</v>
      </c>
      <c r="E32" s="1" t="s">
        <v>44</v>
      </c>
      <c r="F32" s="2">
        <v>27502</v>
      </c>
      <c r="G32" s="12">
        <v>19197490237</v>
      </c>
      <c r="H32" s="68" t="s">
        <v>45</v>
      </c>
      <c r="I32" s="2" t="s">
        <v>39</v>
      </c>
      <c r="J32" s="2"/>
      <c r="K32" s="22">
        <v>28.23</v>
      </c>
      <c r="L32" s="31">
        <v>23.34</v>
      </c>
      <c r="M32" s="30" t="s">
        <v>200</v>
      </c>
      <c r="N32" s="60">
        <v>23.45</v>
      </c>
      <c r="O32" s="22" t="s">
        <v>212</v>
      </c>
      <c r="P32" s="95" t="s">
        <v>276</v>
      </c>
      <c r="Q32" s="141"/>
      <c r="R32" s="181">
        <v>25</v>
      </c>
      <c r="S32" s="187" t="s">
        <v>214</v>
      </c>
      <c r="T32" s="191" t="s">
        <v>651</v>
      </c>
      <c r="U32" s="214"/>
      <c r="V32" s="60">
        <v>25</v>
      </c>
      <c r="W32" s="2" t="s">
        <v>214</v>
      </c>
      <c r="X32" s="220" t="s">
        <v>652</v>
      </c>
    </row>
    <row r="33" spans="2:24" x14ac:dyDescent="0.3">
      <c r="B33" s="3">
        <v>30</v>
      </c>
      <c r="C33" s="9" t="s">
        <v>48</v>
      </c>
      <c r="D33" s="7" t="s">
        <v>18</v>
      </c>
      <c r="E33" s="9" t="s">
        <v>49</v>
      </c>
      <c r="F33" s="7">
        <v>5102090</v>
      </c>
      <c r="G33" s="14">
        <v>5511999102855</v>
      </c>
      <c r="H33" s="9" t="s">
        <v>50</v>
      </c>
      <c r="I33" s="9" t="s">
        <v>20</v>
      </c>
      <c r="J33" s="9"/>
      <c r="K33" s="23">
        <v>25</v>
      </c>
      <c r="L33" s="31">
        <v>20.46</v>
      </c>
      <c r="M33" s="48" t="s">
        <v>200</v>
      </c>
      <c r="N33" s="58">
        <v>19.989999999999998</v>
      </c>
      <c r="O33" s="22" t="s">
        <v>212</v>
      </c>
      <c r="P33" s="95" t="s">
        <v>277</v>
      </c>
      <c r="Q33" s="141"/>
      <c r="R33" s="181">
        <v>25</v>
      </c>
      <c r="S33" s="187" t="s">
        <v>571</v>
      </c>
      <c r="T33" s="191" t="s">
        <v>692</v>
      </c>
      <c r="U33" s="214"/>
      <c r="V33" s="219"/>
      <c r="W33" s="26"/>
      <c r="X33" s="148"/>
    </row>
    <row r="34" spans="2:24" x14ac:dyDescent="0.3">
      <c r="B34" s="25">
        <v>31</v>
      </c>
      <c r="C34" s="63" t="s">
        <v>51</v>
      </c>
      <c r="D34" s="168" t="s">
        <v>738</v>
      </c>
      <c r="E34" s="64"/>
      <c r="F34" s="64"/>
      <c r="G34" s="169"/>
      <c r="H34" s="170" t="s">
        <v>53</v>
      </c>
      <c r="I34" s="63"/>
      <c r="J34" s="63"/>
      <c r="K34" s="171"/>
      <c r="L34" s="172"/>
      <c r="M34" s="173"/>
      <c r="N34" s="174"/>
      <c r="O34" s="175"/>
      <c r="P34" s="176"/>
      <c r="Q34" s="160"/>
      <c r="R34" s="184" t="s">
        <v>737</v>
      </c>
      <c r="S34" s="189"/>
      <c r="T34" s="195"/>
      <c r="U34" s="214"/>
      <c r="V34" s="219"/>
      <c r="W34" s="26"/>
      <c r="X34" s="148"/>
    </row>
    <row r="35" spans="2:24" x14ac:dyDescent="0.3">
      <c r="B35" s="3">
        <v>32</v>
      </c>
      <c r="C35" s="66" t="s">
        <v>160</v>
      </c>
      <c r="D35" s="2" t="s">
        <v>18</v>
      </c>
      <c r="E35" s="1" t="s">
        <v>161</v>
      </c>
      <c r="F35" s="2">
        <v>29102010</v>
      </c>
      <c r="G35" s="12">
        <v>27992345001</v>
      </c>
      <c r="H35" s="68" t="s">
        <v>162</v>
      </c>
      <c r="I35" s="9" t="s">
        <v>20</v>
      </c>
      <c r="J35" s="9"/>
      <c r="K35" s="23"/>
      <c r="L35" s="31">
        <v>20.05</v>
      </c>
      <c r="M35" s="30" t="s">
        <v>200</v>
      </c>
      <c r="N35" s="60">
        <v>20.12</v>
      </c>
      <c r="O35" s="22" t="s">
        <v>212</v>
      </c>
      <c r="P35" s="95" t="s">
        <v>278</v>
      </c>
      <c r="Q35" s="141"/>
      <c r="R35" s="181">
        <v>25</v>
      </c>
      <c r="S35" s="187" t="s">
        <v>571</v>
      </c>
      <c r="T35" s="191" t="s">
        <v>612</v>
      </c>
      <c r="U35" s="214"/>
      <c r="V35" s="219"/>
      <c r="W35" s="26"/>
      <c r="X35" s="148"/>
    </row>
    <row r="36" spans="2:24" x14ac:dyDescent="0.3">
      <c r="B36" s="3">
        <v>33</v>
      </c>
      <c r="C36" s="9" t="s">
        <v>319</v>
      </c>
      <c r="D36" s="2" t="s">
        <v>18</v>
      </c>
      <c r="E36" t="s">
        <v>320</v>
      </c>
      <c r="F36" s="7" t="s">
        <v>321</v>
      </c>
      <c r="G36" s="14">
        <v>351963638410</v>
      </c>
      <c r="H36" s="69" t="s">
        <v>322</v>
      </c>
      <c r="I36" s="9" t="s">
        <v>42</v>
      </c>
      <c r="J36" s="9"/>
      <c r="K36" s="23">
        <v>0</v>
      </c>
      <c r="L36" s="31">
        <v>0</v>
      </c>
      <c r="M36" s="48" t="s">
        <v>200</v>
      </c>
      <c r="N36" s="60">
        <v>24.37</v>
      </c>
      <c r="O36" s="23" t="s">
        <v>214</v>
      </c>
      <c r="P36" s="95" t="s">
        <v>323</v>
      </c>
      <c r="Q36" s="141"/>
      <c r="R36" s="181">
        <v>25</v>
      </c>
      <c r="S36" s="187" t="s">
        <v>613</v>
      </c>
      <c r="T36" s="191" t="s">
        <v>614</v>
      </c>
      <c r="U36" s="214"/>
      <c r="V36" s="219"/>
      <c r="W36" s="26"/>
      <c r="X36" s="148"/>
    </row>
    <row r="37" spans="2:24" x14ac:dyDescent="0.3">
      <c r="B37" s="3">
        <v>34</v>
      </c>
      <c r="C37" s="9" t="s">
        <v>149</v>
      </c>
      <c r="D37" s="2" t="s">
        <v>18</v>
      </c>
      <c r="E37" s="1" t="s">
        <v>57</v>
      </c>
      <c r="F37" s="2" t="s">
        <v>243</v>
      </c>
      <c r="G37" s="12">
        <v>5561981839903</v>
      </c>
      <c r="H37" s="68" t="s">
        <v>58</v>
      </c>
      <c r="I37" s="1" t="s">
        <v>20</v>
      </c>
      <c r="J37" s="1"/>
      <c r="K37" s="22">
        <v>25</v>
      </c>
      <c r="L37" s="29">
        <v>21.05</v>
      </c>
      <c r="M37" s="30" t="s">
        <v>200</v>
      </c>
      <c r="N37" s="60">
        <v>20.34</v>
      </c>
      <c r="O37" s="22" t="s">
        <v>212</v>
      </c>
      <c r="P37" s="95" t="s">
        <v>279</v>
      </c>
      <c r="Q37" s="141"/>
      <c r="R37" s="181">
        <v>25</v>
      </c>
      <c r="S37" s="187" t="s">
        <v>571</v>
      </c>
      <c r="T37" s="191" t="s">
        <v>769</v>
      </c>
      <c r="U37" s="214"/>
      <c r="V37" s="219"/>
      <c r="W37" s="26"/>
      <c r="X37" s="148"/>
    </row>
    <row r="38" spans="2:24" x14ac:dyDescent="0.3">
      <c r="B38" s="3">
        <v>35</v>
      </c>
      <c r="C38" s="9" t="s">
        <v>82</v>
      </c>
      <c r="D38" s="2" t="s">
        <v>18</v>
      </c>
      <c r="E38" s="1" t="s">
        <v>248</v>
      </c>
      <c r="F38" s="2" t="s">
        <v>244</v>
      </c>
      <c r="G38" s="12">
        <v>33787599204</v>
      </c>
      <c r="H38" s="68" t="s">
        <v>59</v>
      </c>
      <c r="I38" s="1" t="s">
        <v>60</v>
      </c>
      <c r="J38" s="1"/>
      <c r="K38" s="22">
        <v>24.37</v>
      </c>
      <c r="L38" s="29">
        <v>24.37</v>
      </c>
      <c r="M38" s="30" t="s">
        <v>200</v>
      </c>
      <c r="N38" s="60">
        <v>24.37</v>
      </c>
      <c r="O38" s="22" t="s">
        <v>212</v>
      </c>
      <c r="P38" s="95" t="s">
        <v>280</v>
      </c>
      <c r="Q38" s="141"/>
      <c r="R38" s="181">
        <v>25</v>
      </c>
      <c r="S38" s="187" t="s">
        <v>624</v>
      </c>
      <c r="T38" s="191" t="s">
        <v>625</v>
      </c>
      <c r="U38" s="214"/>
      <c r="V38" s="219"/>
      <c r="W38" s="26"/>
      <c r="X38" s="148"/>
    </row>
    <row r="39" spans="2:24" x14ac:dyDescent="0.3">
      <c r="B39" s="3">
        <v>36</v>
      </c>
      <c r="C39" s="9" t="s">
        <v>61</v>
      </c>
      <c r="D39" s="2" t="s">
        <v>18</v>
      </c>
      <c r="E39" s="1" t="s">
        <v>245</v>
      </c>
      <c r="F39" s="2" t="s">
        <v>244</v>
      </c>
      <c r="G39" s="12">
        <v>33787599585</v>
      </c>
      <c r="H39" s="68" t="s">
        <v>62</v>
      </c>
      <c r="I39" s="1" t="s">
        <v>60</v>
      </c>
      <c r="J39" s="1"/>
      <c r="K39" s="22">
        <v>24.37</v>
      </c>
      <c r="L39" s="29">
        <v>24.37</v>
      </c>
      <c r="M39" s="30" t="s">
        <v>200</v>
      </c>
      <c r="N39" s="60">
        <v>24.37</v>
      </c>
      <c r="O39" s="22" t="s">
        <v>212</v>
      </c>
      <c r="P39" s="95" t="s">
        <v>281</v>
      </c>
      <c r="Q39" s="141"/>
      <c r="R39" s="181">
        <v>25</v>
      </c>
      <c r="S39" s="187" t="s">
        <v>624</v>
      </c>
      <c r="T39" s="191" t="s">
        <v>626</v>
      </c>
      <c r="U39" s="214"/>
      <c r="V39" s="219"/>
      <c r="W39" s="26"/>
      <c r="X39" s="148"/>
    </row>
    <row r="40" spans="2:24" x14ac:dyDescent="0.3">
      <c r="B40" s="3">
        <v>37</v>
      </c>
      <c r="C40" s="66" t="s">
        <v>63</v>
      </c>
      <c r="D40" s="2" t="s">
        <v>18</v>
      </c>
      <c r="E40" s="1" t="s">
        <v>63</v>
      </c>
      <c r="F40" s="2" t="s">
        <v>217</v>
      </c>
      <c r="G40" s="12" t="s">
        <v>64</v>
      </c>
      <c r="H40" s="69" t="s">
        <v>65</v>
      </c>
      <c r="I40" s="9" t="s">
        <v>42</v>
      </c>
      <c r="J40" s="1"/>
      <c r="K40" s="22">
        <v>24.37</v>
      </c>
      <c r="L40" s="31">
        <v>25</v>
      </c>
      <c r="M40" s="30" t="s">
        <v>200</v>
      </c>
      <c r="N40" s="60">
        <v>24.37</v>
      </c>
      <c r="O40" s="22" t="s">
        <v>212</v>
      </c>
      <c r="P40" s="95" t="s">
        <v>282</v>
      </c>
      <c r="Q40" s="141"/>
      <c r="R40" s="181">
        <v>25</v>
      </c>
      <c r="S40" s="187" t="s">
        <v>214</v>
      </c>
      <c r="T40" s="191" t="s">
        <v>743</v>
      </c>
      <c r="U40" s="214"/>
      <c r="V40" s="219"/>
      <c r="W40" s="26"/>
      <c r="X40" s="148"/>
    </row>
    <row r="41" spans="2:24" x14ac:dyDescent="0.3">
      <c r="B41" s="25">
        <v>38</v>
      </c>
      <c r="C41" s="121" t="s">
        <v>66</v>
      </c>
      <c r="D41" s="168" t="s">
        <v>739</v>
      </c>
      <c r="E41" s="9"/>
      <c r="F41" s="9"/>
      <c r="G41" s="17"/>
      <c r="H41" s="120" t="s">
        <v>68</v>
      </c>
      <c r="I41" s="9" t="s">
        <v>20</v>
      </c>
      <c r="J41" s="9"/>
      <c r="K41" s="23"/>
      <c r="L41" s="31"/>
      <c r="M41" s="48"/>
      <c r="N41" s="59"/>
      <c r="O41" s="41"/>
      <c r="P41" s="97"/>
      <c r="Q41" s="97"/>
      <c r="R41" s="184"/>
      <c r="S41" s="189"/>
      <c r="T41" s="195"/>
      <c r="U41" s="214"/>
      <c r="V41" s="219"/>
      <c r="W41" s="26"/>
      <c r="X41" s="148"/>
    </row>
    <row r="42" spans="2:24" x14ac:dyDescent="0.3">
      <c r="B42" s="3">
        <v>39</v>
      </c>
      <c r="C42" s="9" t="s">
        <v>69</v>
      </c>
      <c r="D42" s="2" t="s">
        <v>18</v>
      </c>
      <c r="E42" s="1" t="s">
        <v>230</v>
      </c>
      <c r="F42" s="2" t="s">
        <v>229</v>
      </c>
      <c r="G42" s="13" t="s">
        <v>70</v>
      </c>
      <c r="H42" s="68" t="s">
        <v>71</v>
      </c>
      <c r="I42" s="1" t="s">
        <v>42</v>
      </c>
      <c r="J42" s="1"/>
      <c r="K42" s="22">
        <v>24.37</v>
      </c>
      <c r="L42" s="29">
        <v>23.77</v>
      </c>
      <c r="M42" s="30" t="s">
        <v>200</v>
      </c>
      <c r="N42" s="60">
        <v>24.45</v>
      </c>
      <c r="O42" s="22" t="s">
        <v>212</v>
      </c>
      <c r="P42" s="95" t="s">
        <v>283</v>
      </c>
      <c r="Q42" s="141"/>
      <c r="R42" s="181">
        <v>25</v>
      </c>
      <c r="S42" s="187" t="s">
        <v>214</v>
      </c>
      <c r="T42" s="231" t="s">
        <v>781</v>
      </c>
      <c r="U42" s="214"/>
      <c r="V42" s="219"/>
      <c r="W42" s="26"/>
      <c r="X42" s="148"/>
    </row>
    <row r="43" spans="2:24" x14ac:dyDescent="0.3">
      <c r="B43" s="3">
        <v>40</v>
      </c>
      <c r="C43" s="9" t="s">
        <v>72</v>
      </c>
      <c r="D43" s="2" t="s">
        <v>18</v>
      </c>
      <c r="E43" s="1" t="s">
        <v>73</v>
      </c>
      <c r="F43" s="2" t="s">
        <v>242</v>
      </c>
      <c r="G43" s="12">
        <v>914795682</v>
      </c>
      <c r="H43" s="69" t="s">
        <v>74</v>
      </c>
      <c r="I43" s="1" t="s">
        <v>42</v>
      </c>
      <c r="J43" s="1"/>
      <c r="K43" s="22">
        <v>24.37</v>
      </c>
      <c r="L43" s="29">
        <f>25-0.63</f>
        <v>24.37</v>
      </c>
      <c r="M43" s="30" t="s">
        <v>200</v>
      </c>
      <c r="N43" s="60">
        <v>24.37</v>
      </c>
      <c r="O43" s="22" t="s">
        <v>212</v>
      </c>
      <c r="P43" s="95" t="s">
        <v>284</v>
      </c>
      <c r="Q43" s="141"/>
      <c r="R43" s="181">
        <v>25</v>
      </c>
      <c r="S43" s="187" t="s">
        <v>600</v>
      </c>
      <c r="T43" s="191" t="s">
        <v>601</v>
      </c>
      <c r="U43" s="214"/>
      <c r="V43" s="219"/>
      <c r="W43" s="26"/>
      <c r="X43" s="148"/>
    </row>
    <row r="44" spans="2:24" x14ac:dyDescent="0.3">
      <c r="B44" s="25">
        <v>41</v>
      </c>
      <c r="C44" s="63" t="s">
        <v>75</v>
      </c>
      <c r="D44" s="168" t="s">
        <v>738</v>
      </c>
      <c r="E44" s="9"/>
      <c r="F44" s="9"/>
      <c r="G44" s="14"/>
      <c r="H44" s="69" t="s">
        <v>77</v>
      </c>
      <c r="I44" s="17" t="s">
        <v>20</v>
      </c>
      <c r="J44" s="17"/>
      <c r="K44" s="23"/>
      <c r="L44" s="31"/>
      <c r="M44" s="48"/>
      <c r="N44" s="59"/>
      <c r="O44" s="41"/>
      <c r="P44" s="160"/>
      <c r="Q44" s="160"/>
      <c r="R44" s="184"/>
      <c r="S44" s="189"/>
      <c r="T44" s="195"/>
      <c r="U44" s="214"/>
      <c r="V44" s="219"/>
      <c r="W44" s="26"/>
      <c r="X44" s="148"/>
    </row>
    <row r="45" spans="2:24" x14ac:dyDescent="0.3">
      <c r="B45" s="4">
        <v>42</v>
      </c>
      <c r="C45" s="75" t="s">
        <v>78</v>
      </c>
      <c r="D45" s="6" t="s">
        <v>18</v>
      </c>
      <c r="E45" s="5" t="s">
        <v>79</v>
      </c>
      <c r="F45" s="6" t="s">
        <v>226</v>
      </c>
      <c r="G45" s="15" t="s">
        <v>80</v>
      </c>
      <c r="H45" s="72" t="s">
        <v>81</v>
      </c>
      <c r="I45" s="5" t="s">
        <v>20</v>
      </c>
      <c r="J45" s="5"/>
      <c r="K45" s="22">
        <v>23.33</v>
      </c>
      <c r="L45" s="29">
        <v>21.06</v>
      </c>
      <c r="M45" s="30" t="s">
        <v>200</v>
      </c>
      <c r="N45" s="60">
        <v>25</v>
      </c>
      <c r="O45" s="22" t="s">
        <v>214</v>
      </c>
      <c r="P45" s="95" t="s">
        <v>285</v>
      </c>
      <c r="Q45" s="141"/>
      <c r="R45" s="181">
        <v>25</v>
      </c>
      <c r="S45" s="187" t="s">
        <v>214</v>
      </c>
      <c r="T45" s="191" t="s">
        <v>700</v>
      </c>
      <c r="U45" s="214"/>
      <c r="V45" s="219"/>
      <c r="W45" s="26"/>
      <c r="X45" s="148"/>
    </row>
    <row r="46" spans="2:24" x14ac:dyDescent="0.3">
      <c r="B46" s="3">
        <v>43</v>
      </c>
      <c r="C46" s="9" t="s">
        <v>84</v>
      </c>
      <c r="D46" s="2" t="s">
        <v>18</v>
      </c>
      <c r="E46" s="1" t="s">
        <v>85</v>
      </c>
      <c r="F46" s="2" t="s">
        <v>241</v>
      </c>
      <c r="G46" s="16">
        <v>351917276398</v>
      </c>
      <c r="H46" s="68" t="s">
        <v>83</v>
      </c>
      <c r="I46" s="1" t="s">
        <v>42</v>
      </c>
      <c r="J46" s="1"/>
      <c r="K46" s="22">
        <v>25</v>
      </c>
      <c r="L46" s="29">
        <v>24.37</v>
      </c>
      <c r="M46" s="30" t="s">
        <v>200</v>
      </c>
      <c r="N46" s="60">
        <v>24.37</v>
      </c>
      <c r="O46" s="22" t="s">
        <v>212</v>
      </c>
      <c r="P46" s="95" t="s">
        <v>286</v>
      </c>
      <c r="Q46" s="141"/>
      <c r="R46" s="181">
        <v>25</v>
      </c>
      <c r="S46" s="187" t="s">
        <v>613</v>
      </c>
      <c r="T46" s="191" t="s">
        <v>615</v>
      </c>
      <c r="U46" s="214"/>
      <c r="V46" s="219"/>
      <c r="W46" s="26"/>
      <c r="X46" s="148"/>
    </row>
    <row r="47" spans="2:24" x14ac:dyDescent="0.3">
      <c r="B47" s="3">
        <v>44</v>
      </c>
      <c r="C47" s="9" t="s">
        <v>87</v>
      </c>
      <c r="D47" s="2" t="s">
        <v>18</v>
      </c>
      <c r="E47" s="1" t="s">
        <v>88</v>
      </c>
      <c r="F47" s="2" t="s">
        <v>240</v>
      </c>
      <c r="G47" s="13">
        <v>916617407</v>
      </c>
      <c r="H47" s="68" t="s">
        <v>89</v>
      </c>
      <c r="I47" s="1" t="s">
        <v>42</v>
      </c>
      <c r="J47" s="1"/>
      <c r="K47" s="22">
        <v>25</v>
      </c>
      <c r="L47" s="31">
        <v>24.37</v>
      </c>
      <c r="M47" s="30" t="s">
        <v>200</v>
      </c>
      <c r="N47" s="60">
        <v>24.37</v>
      </c>
      <c r="O47" s="22" t="s">
        <v>212</v>
      </c>
      <c r="P47" s="95" t="s">
        <v>287</v>
      </c>
      <c r="Q47" s="141"/>
      <c r="R47" s="181">
        <v>25</v>
      </c>
      <c r="S47" s="187" t="s">
        <v>214</v>
      </c>
      <c r="T47" s="191" t="s">
        <v>619</v>
      </c>
      <c r="U47" s="214"/>
      <c r="V47" s="219"/>
      <c r="W47" s="26"/>
      <c r="X47" s="148"/>
    </row>
    <row r="48" spans="2:24" x14ac:dyDescent="0.3">
      <c r="B48" s="3">
        <v>45</v>
      </c>
      <c r="C48" s="66" t="s">
        <v>91</v>
      </c>
      <c r="D48" s="2" t="s">
        <v>18</v>
      </c>
      <c r="E48" s="1" t="s">
        <v>220</v>
      </c>
      <c r="F48" s="2" t="s">
        <v>219</v>
      </c>
      <c r="G48" s="13">
        <v>42999463782</v>
      </c>
      <c r="H48" s="68" t="s">
        <v>92</v>
      </c>
      <c r="I48" s="1" t="s">
        <v>20</v>
      </c>
      <c r="J48" s="1"/>
      <c r="K48" s="22">
        <v>25</v>
      </c>
      <c r="L48" s="31">
        <v>25</v>
      </c>
      <c r="M48" s="30" t="s">
        <v>198</v>
      </c>
      <c r="N48" s="60">
        <v>19.98</v>
      </c>
      <c r="O48" s="22" t="s">
        <v>212</v>
      </c>
      <c r="P48" s="95" t="s">
        <v>288</v>
      </c>
      <c r="Q48" s="141"/>
      <c r="R48" s="181">
        <v>25</v>
      </c>
      <c r="S48" s="187" t="s">
        <v>604</v>
      </c>
      <c r="T48" s="191" t="s">
        <v>605</v>
      </c>
      <c r="U48" s="214"/>
      <c r="V48" s="219"/>
      <c r="W48" s="26"/>
      <c r="X48" s="148"/>
    </row>
    <row r="49" spans="2:24" x14ac:dyDescent="0.3">
      <c r="B49" s="3">
        <v>46</v>
      </c>
      <c r="C49" s="66" t="s">
        <v>93</v>
      </c>
      <c r="D49" s="2" t="s">
        <v>18</v>
      </c>
      <c r="E49" s="1" t="s">
        <v>94</v>
      </c>
      <c r="F49" s="2">
        <v>4649000</v>
      </c>
      <c r="G49" s="12">
        <v>5511966620545</v>
      </c>
      <c r="H49" s="68" t="s">
        <v>95</v>
      </c>
      <c r="I49" s="1" t="s">
        <v>20</v>
      </c>
      <c r="J49" s="1"/>
      <c r="K49" s="22">
        <v>24.56</v>
      </c>
      <c r="L49" s="29">
        <v>21.07</v>
      </c>
      <c r="M49" s="30" t="s">
        <v>200</v>
      </c>
      <c r="N49" s="60">
        <v>20.12</v>
      </c>
      <c r="O49" s="22" t="s">
        <v>212</v>
      </c>
      <c r="P49" s="95" t="s">
        <v>289</v>
      </c>
      <c r="Q49" s="141"/>
      <c r="R49" s="181">
        <v>25</v>
      </c>
      <c r="S49" s="187" t="s">
        <v>214</v>
      </c>
      <c r="T49" s="191" t="s">
        <v>585</v>
      </c>
      <c r="U49" s="214"/>
      <c r="V49" s="219"/>
      <c r="W49" s="26"/>
      <c r="X49" s="148"/>
    </row>
    <row r="50" spans="2:24" x14ac:dyDescent="0.3">
      <c r="B50" s="3">
        <v>47</v>
      </c>
      <c r="C50" s="9" t="s">
        <v>96</v>
      </c>
      <c r="D50" s="2" t="s">
        <v>18</v>
      </c>
      <c r="E50" s="1" t="s">
        <v>225</v>
      </c>
      <c r="F50" s="2" t="s">
        <v>224</v>
      </c>
      <c r="G50" s="13" t="s">
        <v>97</v>
      </c>
      <c r="H50" s="68" t="s">
        <v>98</v>
      </c>
      <c r="I50" s="1" t="s">
        <v>20</v>
      </c>
      <c r="J50" s="1"/>
      <c r="K50" s="22">
        <v>24.56</v>
      </c>
      <c r="L50" s="29">
        <v>21.15</v>
      </c>
      <c r="M50" s="30" t="s">
        <v>200</v>
      </c>
      <c r="N50" s="60">
        <v>19.899999999999999</v>
      </c>
      <c r="O50" s="22" t="s">
        <v>212</v>
      </c>
      <c r="P50" s="95" t="s">
        <v>290</v>
      </c>
      <c r="Q50" s="141"/>
      <c r="R50" s="181">
        <v>25</v>
      </c>
      <c r="S50" s="179" t="s">
        <v>214</v>
      </c>
      <c r="T50" s="191" t="s">
        <v>572</v>
      </c>
      <c r="U50" s="214"/>
      <c r="V50" s="219"/>
      <c r="W50" s="26"/>
      <c r="X50" s="148"/>
    </row>
    <row r="51" spans="2:24" x14ac:dyDescent="0.3">
      <c r="B51" s="129">
        <v>48</v>
      </c>
      <c r="C51" s="63" t="s">
        <v>99</v>
      </c>
      <c r="D51" s="168" t="s">
        <v>738</v>
      </c>
      <c r="E51" s="19"/>
      <c r="F51" s="19"/>
      <c r="G51" s="51"/>
      <c r="H51" s="120" t="s">
        <v>101</v>
      </c>
      <c r="I51" s="19" t="s">
        <v>20</v>
      </c>
      <c r="J51" s="19"/>
      <c r="K51" s="23"/>
      <c r="L51" s="31"/>
      <c r="M51" s="48"/>
      <c r="N51" s="59"/>
      <c r="O51" s="41"/>
      <c r="P51" s="97"/>
      <c r="Q51" s="97"/>
      <c r="R51" s="184"/>
      <c r="S51" s="189"/>
      <c r="T51" s="195"/>
      <c r="U51" s="214"/>
      <c r="V51" s="219"/>
      <c r="W51" s="26"/>
      <c r="X51" s="148"/>
    </row>
    <row r="52" spans="2:24" x14ac:dyDescent="0.3">
      <c r="B52" s="4">
        <v>49</v>
      </c>
      <c r="C52" s="75" t="s">
        <v>102</v>
      </c>
      <c r="D52" s="6" t="s">
        <v>18</v>
      </c>
      <c r="E52" s="5" t="s">
        <v>104</v>
      </c>
      <c r="F52" s="6" t="s">
        <v>342</v>
      </c>
      <c r="G52" s="15">
        <v>913595430</v>
      </c>
      <c r="H52" s="72" t="s">
        <v>103</v>
      </c>
      <c r="I52" s="5" t="s">
        <v>42</v>
      </c>
      <c r="J52" s="5"/>
      <c r="K52" s="22">
        <v>0</v>
      </c>
      <c r="L52" s="29">
        <v>25</v>
      </c>
      <c r="M52" s="30" t="s">
        <v>200</v>
      </c>
      <c r="N52" s="60">
        <v>25</v>
      </c>
      <c r="O52" s="22" t="s">
        <v>214</v>
      </c>
      <c r="P52" s="79" t="s">
        <v>406</v>
      </c>
      <c r="Q52" s="141"/>
      <c r="R52" s="181">
        <v>25</v>
      </c>
      <c r="S52" s="187" t="s">
        <v>602</v>
      </c>
      <c r="T52" s="191" t="s">
        <v>603</v>
      </c>
      <c r="U52" s="214"/>
      <c r="V52" s="219"/>
      <c r="W52" s="26"/>
      <c r="X52" s="148"/>
    </row>
    <row r="53" spans="2:24" x14ac:dyDescent="0.3">
      <c r="B53" s="3">
        <v>50</v>
      </c>
      <c r="C53" s="9" t="s">
        <v>105</v>
      </c>
      <c r="D53" s="2" t="s">
        <v>18</v>
      </c>
      <c r="E53" s="1" t="s">
        <v>106</v>
      </c>
      <c r="F53" s="2" t="s">
        <v>238</v>
      </c>
      <c r="G53" s="13" t="s">
        <v>108</v>
      </c>
      <c r="H53" s="68" t="s">
        <v>107</v>
      </c>
      <c r="I53" s="1" t="s">
        <v>109</v>
      </c>
      <c r="J53" s="1"/>
      <c r="K53" s="22">
        <v>0</v>
      </c>
      <c r="L53" s="29">
        <v>23.94</v>
      </c>
      <c r="M53" s="30" t="s">
        <v>200</v>
      </c>
      <c r="N53" s="60">
        <v>25</v>
      </c>
      <c r="O53" s="56" t="s">
        <v>200</v>
      </c>
      <c r="P53" s="95" t="s">
        <v>291</v>
      </c>
      <c r="Q53" s="141"/>
      <c r="R53" s="181">
        <v>25</v>
      </c>
      <c r="S53" s="187" t="s">
        <v>214</v>
      </c>
      <c r="T53" s="191" t="s">
        <v>752</v>
      </c>
      <c r="U53" s="214"/>
      <c r="V53" s="35">
        <v>25</v>
      </c>
      <c r="W53" s="26" t="s">
        <v>753</v>
      </c>
      <c r="X53" s="148"/>
    </row>
    <row r="54" spans="2:24" x14ac:dyDescent="0.3">
      <c r="B54" s="4">
        <v>51</v>
      </c>
      <c r="C54" s="1" t="s">
        <v>110</v>
      </c>
      <c r="D54" s="6" t="s">
        <v>18</v>
      </c>
      <c r="E54" s="5" t="s">
        <v>111</v>
      </c>
      <c r="F54" s="78">
        <v>58303385</v>
      </c>
      <c r="G54" s="15" t="s">
        <v>112</v>
      </c>
      <c r="H54" s="72" t="s">
        <v>113</v>
      </c>
      <c r="I54" s="5" t="s">
        <v>20</v>
      </c>
      <c r="J54" s="5"/>
      <c r="K54" s="22">
        <v>0</v>
      </c>
      <c r="L54" s="29">
        <v>23.33</v>
      </c>
      <c r="M54" s="30" t="s">
        <v>198</v>
      </c>
      <c r="N54" s="60">
        <v>20.04</v>
      </c>
      <c r="O54" s="22" t="s">
        <v>200</v>
      </c>
      <c r="P54" s="95" t="s">
        <v>292</v>
      </c>
      <c r="Q54" s="141"/>
      <c r="R54" s="181">
        <v>25</v>
      </c>
      <c r="S54" s="187" t="s">
        <v>571</v>
      </c>
      <c r="T54" s="191" t="s">
        <v>582</v>
      </c>
      <c r="U54" s="214"/>
      <c r="V54" s="219"/>
      <c r="W54" s="26"/>
      <c r="X54" s="148"/>
    </row>
    <row r="55" spans="2:24" x14ac:dyDescent="0.3">
      <c r="B55" s="3">
        <v>52</v>
      </c>
      <c r="C55" t="s">
        <v>114</v>
      </c>
      <c r="D55" s="2" t="s">
        <v>18</v>
      </c>
      <c r="E55" s="1" t="s">
        <v>115</v>
      </c>
      <c r="F55" s="2">
        <v>58038491</v>
      </c>
      <c r="G55" s="13">
        <v>83988990612</v>
      </c>
      <c r="H55" s="69" t="s">
        <v>116</v>
      </c>
      <c r="I55" s="1" t="s">
        <v>20</v>
      </c>
      <c r="J55" s="5"/>
      <c r="K55" s="22">
        <v>0</v>
      </c>
      <c r="L55" s="29">
        <v>25</v>
      </c>
      <c r="M55" s="30" t="s">
        <v>198</v>
      </c>
      <c r="N55" s="60">
        <v>19.899999999999999</v>
      </c>
      <c r="O55" s="22" t="s">
        <v>200</v>
      </c>
      <c r="P55" s="95" t="s">
        <v>293</v>
      </c>
      <c r="Q55" s="141"/>
      <c r="R55" s="181">
        <v>25</v>
      </c>
      <c r="S55" s="187" t="s">
        <v>571</v>
      </c>
      <c r="T55" s="191" t="s">
        <v>581</v>
      </c>
      <c r="U55" s="214"/>
      <c r="V55" s="219"/>
      <c r="W55" s="26"/>
      <c r="X55" s="148"/>
    </row>
    <row r="56" spans="2:24" x14ac:dyDescent="0.3">
      <c r="B56" s="8">
        <v>53</v>
      </c>
      <c r="C56" s="75" t="s">
        <v>117</v>
      </c>
      <c r="D56" s="6" t="s">
        <v>18</v>
      </c>
      <c r="E56" s="5" t="s">
        <v>118</v>
      </c>
      <c r="F56" s="6" t="s">
        <v>231</v>
      </c>
      <c r="G56" s="18">
        <v>5521966434668</v>
      </c>
      <c r="H56" s="73" t="s">
        <v>119</v>
      </c>
      <c r="I56" s="5" t="s">
        <v>20</v>
      </c>
      <c r="J56" s="5"/>
      <c r="K56" s="22">
        <v>0</v>
      </c>
      <c r="L56" s="29">
        <v>25</v>
      </c>
      <c r="M56" s="30" t="s">
        <v>198</v>
      </c>
      <c r="N56" s="60">
        <v>20.32</v>
      </c>
      <c r="O56" s="22" t="s">
        <v>200</v>
      </c>
      <c r="P56" s="95" t="s">
        <v>294</v>
      </c>
      <c r="Q56" s="141"/>
      <c r="R56" s="181">
        <v>25</v>
      </c>
      <c r="S56" s="187" t="s">
        <v>571</v>
      </c>
      <c r="T56" s="191" t="s">
        <v>741</v>
      </c>
      <c r="U56" s="214"/>
      <c r="V56" s="219"/>
      <c r="W56" s="26"/>
      <c r="X56" s="148"/>
    </row>
    <row r="57" spans="2:24" x14ac:dyDescent="0.3">
      <c r="B57" s="8">
        <v>54</v>
      </c>
      <c r="C57" s="162" t="s">
        <v>122</v>
      </c>
      <c r="D57" s="6" t="s">
        <v>18</v>
      </c>
      <c r="E57" s="5" t="s">
        <v>123</v>
      </c>
      <c r="F57" s="6" t="s">
        <v>731</v>
      </c>
      <c r="G57" s="15">
        <v>911589991</v>
      </c>
      <c r="H57" s="73" t="s">
        <v>124</v>
      </c>
      <c r="I57" s="5" t="s">
        <v>42</v>
      </c>
      <c r="J57" s="5"/>
      <c r="K57" s="22">
        <v>0</v>
      </c>
      <c r="L57" s="29">
        <v>25</v>
      </c>
      <c r="M57" s="30" t="s">
        <v>200</v>
      </c>
      <c r="N57" s="60">
        <v>25</v>
      </c>
      <c r="O57" s="22" t="s">
        <v>214</v>
      </c>
      <c r="P57" s="95" t="s">
        <v>307</v>
      </c>
      <c r="Q57" s="141"/>
      <c r="R57" s="182"/>
      <c r="S57" s="188"/>
      <c r="T57" s="192"/>
      <c r="U57" s="214"/>
      <c r="V57" s="219"/>
      <c r="W57" s="26"/>
      <c r="X57" s="148"/>
    </row>
    <row r="58" spans="2:24" x14ac:dyDescent="0.3">
      <c r="B58" s="8">
        <v>55</v>
      </c>
      <c r="C58" s="67" t="s">
        <v>128</v>
      </c>
      <c r="D58" s="6" t="s">
        <v>18</v>
      </c>
      <c r="E58" s="5" t="s">
        <v>129</v>
      </c>
      <c r="F58" s="6" t="s">
        <v>227</v>
      </c>
      <c r="G58" s="15" t="s">
        <v>130</v>
      </c>
      <c r="H58" s="73" t="s">
        <v>131</v>
      </c>
      <c r="I58" s="6" t="s">
        <v>20</v>
      </c>
      <c r="J58" s="6"/>
      <c r="K58" s="22">
        <v>0</v>
      </c>
      <c r="L58" s="29">
        <v>25</v>
      </c>
      <c r="M58" s="30" t="s">
        <v>198</v>
      </c>
      <c r="N58" s="60">
        <v>20</v>
      </c>
      <c r="O58" s="22" t="s">
        <v>200</v>
      </c>
      <c r="P58" s="95" t="s">
        <v>295</v>
      </c>
      <c r="Q58" s="141"/>
      <c r="R58" s="181">
        <v>25</v>
      </c>
      <c r="S58" s="187" t="s">
        <v>571</v>
      </c>
      <c r="T58" s="191" t="s">
        <v>660</v>
      </c>
      <c r="U58" s="214"/>
      <c r="V58" s="219"/>
      <c r="W58" s="26"/>
      <c r="X58" s="148"/>
    </row>
    <row r="59" spans="2:24" ht="14.4" customHeight="1" x14ac:dyDescent="0.3">
      <c r="B59" s="3">
        <v>56</v>
      </c>
      <c r="C59" s="1" t="s">
        <v>132</v>
      </c>
      <c r="D59" s="2" t="s">
        <v>18</v>
      </c>
      <c r="E59" s="1" t="s">
        <v>133</v>
      </c>
      <c r="F59" s="77">
        <v>12230900</v>
      </c>
      <c r="G59" s="10">
        <v>12981282014</v>
      </c>
      <c r="H59" s="74" t="s">
        <v>134</v>
      </c>
      <c r="I59" s="1" t="s">
        <v>20</v>
      </c>
      <c r="J59" s="1"/>
      <c r="K59" s="22">
        <v>0</v>
      </c>
      <c r="L59" s="29">
        <v>22.23</v>
      </c>
      <c r="M59" s="30" t="s">
        <v>200</v>
      </c>
      <c r="N59" s="60">
        <v>20.37</v>
      </c>
      <c r="O59" s="22" t="s">
        <v>200</v>
      </c>
      <c r="P59" s="95" t="s">
        <v>296</v>
      </c>
      <c r="Q59" s="141"/>
      <c r="R59" s="181">
        <v>25</v>
      </c>
      <c r="S59" s="187" t="s">
        <v>571</v>
      </c>
      <c r="T59" s="191" t="s">
        <v>661</v>
      </c>
      <c r="U59" s="214"/>
      <c r="V59" s="219"/>
      <c r="W59" s="26"/>
      <c r="X59" s="148"/>
    </row>
    <row r="60" spans="2:24" x14ac:dyDescent="0.3">
      <c r="B60" s="8">
        <v>57</v>
      </c>
      <c r="C60" s="161" t="s">
        <v>135</v>
      </c>
      <c r="D60" s="2" t="s">
        <v>18</v>
      </c>
      <c r="E60" s="1" t="s">
        <v>136</v>
      </c>
      <c r="F60" s="2" t="s">
        <v>732</v>
      </c>
      <c r="G60" s="13">
        <v>31999510350</v>
      </c>
      <c r="H60" s="73" t="s">
        <v>137</v>
      </c>
      <c r="I60" s="5" t="s">
        <v>20</v>
      </c>
      <c r="J60" s="5"/>
      <c r="K60" s="22">
        <v>0</v>
      </c>
      <c r="L60" s="29">
        <v>22.11</v>
      </c>
      <c r="M60" s="30" t="s">
        <v>200</v>
      </c>
      <c r="N60" s="60">
        <v>25.77</v>
      </c>
      <c r="O60" s="22" t="s">
        <v>214</v>
      </c>
      <c r="P60" s="95" t="s">
        <v>297</v>
      </c>
      <c r="Q60" s="141"/>
      <c r="R60" s="182"/>
      <c r="S60" s="188"/>
      <c r="T60" s="192"/>
      <c r="U60" s="214"/>
      <c r="V60" s="219"/>
      <c r="W60" s="26"/>
      <c r="X60" s="148"/>
    </row>
    <row r="61" spans="2:24" x14ac:dyDescent="0.3">
      <c r="B61" s="3">
        <v>58</v>
      </c>
      <c r="C61" s="20" t="s">
        <v>163</v>
      </c>
      <c r="D61" s="2" t="s">
        <v>18</v>
      </c>
      <c r="E61" s="1" t="s">
        <v>259</v>
      </c>
      <c r="F61" s="2">
        <v>89221650</v>
      </c>
      <c r="G61" s="13"/>
      <c r="H61" s="71" t="s">
        <v>164</v>
      </c>
      <c r="I61" s="1" t="s">
        <v>20</v>
      </c>
      <c r="J61" s="1"/>
      <c r="K61" s="22">
        <v>0</v>
      </c>
      <c r="L61" s="29">
        <v>20.05</v>
      </c>
      <c r="M61" s="30" t="s">
        <v>200</v>
      </c>
      <c r="N61" s="60">
        <v>20.04</v>
      </c>
      <c r="O61" s="22" t="s">
        <v>200</v>
      </c>
      <c r="P61" s="95" t="s">
        <v>298</v>
      </c>
      <c r="Q61" s="141"/>
      <c r="R61" s="181">
        <v>25</v>
      </c>
      <c r="S61" s="187" t="s">
        <v>571</v>
      </c>
      <c r="T61" s="191" t="s">
        <v>632</v>
      </c>
      <c r="U61" s="214"/>
      <c r="V61" s="219"/>
      <c r="W61" s="26"/>
      <c r="X61" s="148"/>
    </row>
    <row r="62" spans="2:24" x14ac:dyDescent="0.3">
      <c r="B62" s="3">
        <v>59</v>
      </c>
      <c r="C62" s="20" t="s">
        <v>165</v>
      </c>
      <c r="D62" s="2" t="s">
        <v>18</v>
      </c>
      <c r="E62" s="1" t="s">
        <v>257</v>
      </c>
      <c r="F62" s="2" t="s">
        <v>256</v>
      </c>
      <c r="G62" s="16">
        <v>351927189525</v>
      </c>
      <c r="H62" s="71" t="s">
        <v>166</v>
      </c>
      <c r="I62" s="1" t="s">
        <v>42</v>
      </c>
      <c r="J62" s="5"/>
      <c r="K62" s="22">
        <v>0</v>
      </c>
      <c r="L62" s="29">
        <v>24.45</v>
      </c>
      <c r="M62" s="30" t="s">
        <v>200</v>
      </c>
      <c r="N62" s="60">
        <v>24.45</v>
      </c>
      <c r="O62" s="22" t="s">
        <v>200</v>
      </c>
      <c r="P62" s="95" t="s">
        <v>299</v>
      </c>
      <c r="Q62" s="141"/>
      <c r="R62" s="181">
        <v>25</v>
      </c>
      <c r="S62" s="187" t="s">
        <v>616</v>
      </c>
      <c r="T62" s="191" t="s">
        <v>617</v>
      </c>
      <c r="U62" s="214"/>
      <c r="V62" s="219"/>
      <c r="W62" s="26"/>
      <c r="X62" s="148"/>
    </row>
    <row r="63" spans="2:24" x14ac:dyDescent="0.3">
      <c r="B63" s="8">
        <v>60</v>
      </c>
      <c r="C63" s="5" t="s">
        <v>167</v>
      </c>
      <c r="D63" s="6" t="s">
        <v>18</v>
      </c>
      <c r="E63" s="5" t="s">
        <v>258</v>
      </c>
      <c r="F63" s="6">
        <v>60115080</v>
      </c>
      <c r="G63" s="15">
        <v>5585999954393</v>
      </c>
      <c r="H63" s="73" t="s">
        <v>168</v>
      </c>
      <c r="I63" s="5" t="s">
        <v>20</v>
      </c>
      <c r="J63" s="5"/>
      <c r="K63" s="24">
        <v>0</v>
      </c>
      <c r="L63" s="29">
        <v>19.95</v>
      </c>
      <c r="M63" s="30" t="s">
        <v>200</v>
      </c>
      <c r="N63" s="61">
        <v>19.989999999999998</v>
      </c>
      <c r="O63" s="22" t="s">
        <v>200</v>
      </c>
      <c r="P63" s="95" t="s">
        <v>300</v>
      </c>
      <c r="Q63" s="141"/>
      <c r="R63" s="181">
        <v>25</v>
      </c>
      <c r="S63" s="179" t="s">
        <v>214</v>
      </c>
      <c r="T63" s="191" t="s">
        <v>584</v>
      </c>
      <c r="U63" s="214"/>
      <c r="V63" s="219"/>
      <c r="W63" s="26"/>
      <c r="X63" s="148"/>
    </row>
    <row r="64" spans="2:24" x14ac:dyDescent="0.3">
      <c r="B64" s="25">
        <v>61</v>
      </c>
      <c r="C64" s="64" t="s">
        <v>170</v>
      </c>
      <c r="D64" s="168" t="s">
        <v>738</v>
      </c>
      <c r="E64" s="9"/>
      <c r="F64" s="9"/>
      <c r="G64" s="17"/>
      <c r="H64" s="68" t="s">
        <v>169</v>
      </c>
      <c r="I64" s="9" t="s">
        <v>20</v>
      </c>
      <c r="J64" s="19"/>
      <c r="K64" s="177"/>
      <c r="L64" s="31"/>
      <c r="M64" s="48"/>
      <c r="N64" s="59"/>
      <c r="O64" s="41"/>
      <c r="P64" s="160"/>
      <c r="Q64" s="160"/>
      <c r="R64" s="184"/>
      <c r="S64" s="189"/>
      <c r="T64" s="195"/>
      <c r="U64" s="214"/>
      <c r="V64" s="219"/>
      <c r="W64" s="26"/>
      <c r="X64" s="148"/>
    </row>
    <row r="65" spans="2:24" x14ac:dyDescent="0.3">
      <c r="B65" s="3">
        <v>62</v>
      </c>
      <c r="C65" s="163" t="s">
        <v>172</v>
      </c>
      <c r="D65" s="2" t="s">
        <v>18</v>
      </c>
      <c r="E65" s="1" t="s">
        <v>173</v>
      </c>
      <c r="F65" s="2">
        <v>70817</v>
      </c>
      <c r="G65" s="1" t="s">
        <v>174</v>
      </c>
      <c r="H65" s="68" t="s">
        <v>175</v>
      </c>
      <c r="I65" s="1" t="s">
        <v>176</v>
      </c>
      <c r="J65" s="1"/>
      <c r="K65" s="24">
        <v>0</v>
      </c>
      <c r="L65" s="29">
        <v>25.79</v>
      </c>
      <c r="M65" s="30" t="s">
        <v>200</v>
      </c>
      <c r="N65" s="60">
        <v>25</v>
      </c>
      <c r="O65" s="22" t="s">
        <v>200</v>
      </c>
      <c r="P65" s="95" t="s">
        <v>408</v>
      </c>
      <c r="Q65" s="141"/>
      <c r="R65" s="182"/>
      <c r="S65" s="188"/>
      <c r="T65" s="192"/>
      <c r="U65" s="214"/>
      <c r="V65" s="219"/>
      <c r="W65" s="26"/>
      <c r="X65" s="148"/>
    </row>
    <row r="66" spans="2:24" x14ac:dyDescent="0.3">
      <c r="B66" s="3">
        <v>63</v>
      </c>
      <c r="C66" s="1" t="s">
        <v>178</v>
      </c>
      <c r="D66" s="2" t="s">
        <v>18</v>
      </c>
      <c r="E66" s="20" t="s">
        <v>180</v>
      </c>
      <c r="F66" s="167">
        <v>3167</v>
      </c>
      <c r="G66" s="2">
        <v>452421667</v>
      </c>
      <c r="H66" s="68" t="s">
        <v>179</v>
      </c>
      <c r="I66" s="1" t="s">
        <v>177</v>
      </c>
      <c r="J66" s="1"/>
      <c r="K66" s="24">
        <v>0</v>
      </c>
      <c r="L66" s="29">
        <v>26.87</v>
      </c>
      <c r="M66" s="30" t="s">
        <v>200</v>
      </c>
      <c r="N66" s="60">
        <v>23.94</v>
      </c>
      <c r="O66" s="22" t="s">
        <v>200</v>
      </c>
      <c r="P66" s="95" t="s">
        <v>308</v>
      </c>
      <c r="Q66" s="141"/>
      <c r="R66" s="181">
        <v>30</v>
      </c>
      <c r="S66" s="187" t="s">
        <v>701</v>
      </c>
      <c r="T66" s="191" t="s">
        <v>702</v>
      </c>
      <c r="U66" s="214"/>
      <c r="V66" s="219"/>
      <c r="W66" s="26"/>
      <c r="X66" s="148"/>
    </row>
    <row r="67" spans="2:24" x14ac:dyDescent="0.3">
      <c r="B67" s="3">
        <v>64</v>
      </c>
      <c r="C67" s="1" t="s">
        <v>181</v>
      </c>
      <c r="D67" s="2" t="s">
        <v>18</v>
      </c>
      <c r="E67" s="1" t="s">
        <v>222</v>
      </c>
      <c r="F67" s="2" t="s">
        <v>221</v>
      </c>
      <c r="G67" s="2">
        <v>91984095857</v>
      </c>
      <c r="H67" s="68" t="s">
        <v>182</v>
      </c>
      <c r="I67" s="1" t="s">
        <v>20</v>
      </c>
      <c r="J67" s="1"/>
      <c r="K67" s="24">
        <v>0</v>
      </c>
      <c r="L67" s="29">
        <v>20.36</v>
      </c>
      <c r="M67" s="30" t="s">
        <v>200</v>
      </c>
      <c r="N67" s="60">
        <v>19.989999999999998</v>
      </c>
      <c r="O67" s="22" t="s">
        <v>200</v>
      </c>
      <c r="P67" s="95" t="s">
        <v>301</v>
      </c>
      <c r="Q67" s="141"/>
      <c r="R67" s="181">
        <v>25</v>
      </c>
      <c r="S67" s="187" t="s">
        <v>571</v>
      </c>
      <c r="T67" s="191" t="s">
        <v>703</v>
      </c>
      <c r="U67" s="214"/>
      <c r="V67" s="219"/>
      <c r="W67" s="26"/>
      <c r="X67" s="148"/>
    </row>
    <row r="68" spans="2:24" x14ac:dyDescent="0.3">
      <c r="B68" s="3">
        <v>65</v>
      </c>
      <c r="C68" s="1" t="s">
        <v>183</v>
      </c>
      <c r="D68" s="2" t="s">
        <v>18</v>
      </c>
      <c r="E68" s="1" t="s">
        <v>184</v>
      </c>
      <c r="F68" s="2" t="s">
        <v>246</v>
      </c>
      <c r="G68" s="2">
        <v>965448949</v>
      </c>
      <c r="H68" s="68" t="s">
        <v>728</v>
      </c>
      <c r="I68" s="1" t="s">
        <v>42</v>
      </c>
      <c r="J68" s="1"/>
      <c r="K68" s="24">
        <v>0</v>
      </c>
      <c r="L68" s="24">
        <v>0</v>
      </c>
      <c r="M68" s="30" t="s">
        <v>148</v>
      </c>
      <c r="N68" s="60">
        <v>25</v>
      </c>
      <c r="O68" s="22" t="s">
        <v>214</v>
      </c>
      <c r="P68" s="95" t="s">
        <v>306</v>
      </c>
      <c r="Q68" s="141"/>
      <c r="R68" s="181">
        <v>25</v>
      </c>
      <c r="S68" s="179" t="s">
        <v>214</v>
      </c>
      <c r="T68" s="191" t="s">
        <v>599</v>
      </c>
      <c r="U68" s="214"/>
      <c r="V68" s="219"/>
      <c r="W68" s="26"/>
      <c r="X68" s="148"/>
    </row>
    <row r="69" spans="2:24" x14ac:dyDescent="0.3">
      <c r="B69" s="3">
        <v>66</v>
      </c>
      <c r="C69" s="1" t="s">
        <v>185</v>
      </c>
      <c r="D69" s="2" t="s">
        <v>18</v>
      </c>
      <c r="E69" s="1" t="s">
        <v>184</v>
      </c>
      <c r="F69" s="2" t="s">
        <v>246</v>
      </c>
      <c r="G69" s="2">
        <v>965448949</v>
      </c>
      <c r="H69" s="69"/>
      <c r="I69" s="1" t="s">
        <v>42</v>
      </c>
      <c r="J69" s="1"/>
      <c r="K69" s="24">
        <v>0</v>
      </c>
      <c r="L69" s="24">
        <v>0</v>
      </c>
      <c r="M69" s="30" t="s">
        <v>148</v>
      </c>
      <c r="N69" s="60">
        <v>25</v>
      </c>
      <c r="O69" s="22" t="s">
        <v>214</v>
      </c>
      <c r="P69" s="95" t="s">
        <v>306</v>
      </c>
      <c r="Q69" s="141"/>
      <c r="R69" s="181">
        <v>25</v>
      </c>
      <c r="S69" s="179" t="s">
        <v>214</v>
      </c>
      <c r="T69" s="191" t="s">
        <v>599</v>
      </c>
      <c r="U69" s="214"/>
      <c r="V69" s="219"/>
      <c r="W69" s="26"/>
      <c r="X69" s="148"/>
    </row>
    <row r="70" spans="2:24" x14ac:dyDescent="0.3">
      <c r="B70" s="3">
        <v>67</v>
      </c>
      <c r="C70" s="65" t="s">
        <v>186</v>
      </c>
      <c r="D70" s="2" t="s">
        <v>18</v>
      </c>
      <c r="E70" s="1" t="s">
        <v>187</v>
      </c>
      <c r="F70" s="2" t="s">
        <v>223</v>
      </c>
      <c r="G70" s="2">
        <v>5579999724536</v>
      </c>
      <c r="H70" s="68" t="s">
        <v>188</v>
      </c>
      <c r="I70" s="1" t="s">
        <v>20</v>
      </c>
      <c r="J70" s="1"/>
      <c r="K70" s="24">
        <v>0</v>
      </c>
      <c r="L70" s="29">
        <v>19.38</v>
      </c>
      <c r="M70" s="30" t="s">
        <v>200</v>
      </c>
      <c r="N70" s="60">
        <v>25</v>
      </c>
      <c r="O70" s="22" t="s">
        <v>214</v>
      </c>
      <c r="P70" s="95" t="s">
        <v>302</v>
      </c>
      <c r="Q70" s="141"/>
      <c r="R70" s="181">
        <v>25</v>
      </c>
      <c r="S70" s="179" t="s">
        <v>214</v>
      </c>
      <c r="T70" s="191" t="s">
        <v>584</v>
      </c>
      <c r="U70" s="214"/>
      <c r="V70" s="219"/>
      <c r="W70" s="26"/>
      <c r="X70" s="148"/>
    </row>
    <row r="71" spans="2:24" x14ac:dyDescent="0.3">
      <c r="B71" s="3">
        <v>68</v>
      </c>
      <c r="C71" s="9" t="s">
        <v>189</v>
      </c>
      <c r="D71" s="2" t="s">
        <v>18</v>
      </c>
      <c r="E71" s="1" t="s">
        <v>190</v>
      </c>
      <c r="F71" s="2" t="s">
        <v>247</v>
      </c>
      <c r="G71" s="2">
        <v>929204128</v>
      </c>
      <c r="H71" s="68" t="s">
        <v>191</v>
      </c>
      <c r="I71" s="1" t="s">
        <v>42</v>
      </c>
      <c r="J71" s="1"/>
      <c r="K71" s="24">
        <v>0</v>
      </c>
      <c r="L71" s="29">
        <v>24.37</v>
      </c>
      <c r="M71" s="30" t="s">
        <v>200</v>
      </c>
      <c r="N71" s="60">
        <v>25</v>
      </c>
      <c r="O71" s="22" t="s">
        <v>214</v>
      </c>
      <c r="P71" s="95" t="s">
        <v>303</v>
      </c>
      <c r="Q71" s="141"/>
      <c r="R71" s="181">
        <v>25</v>
      </c>
      <c r="S71" s="179" t="s">
        <v>214</v>
      </c>
      <c r="T71" s="191" t="s">
        <v>768</v>
      </c>
      <c r="U71" s="214"/>
      <c r="V71" s="219"/>
      <c r="W71" s="26"/>
      <c r="X71" s="148"/>
    </row>
    <row r="72" spans="2:24" x14ac:dyDescent="0.3">
      <c r="B72" s="3">
        <v>70</v>
      </c>
      <c r="C72" s="1" t="s">
        <v>195</v>
      </c>
      <c r="D72" s="2" t="s">
        <v>18</v>
      </c>
      <c r="E72" s="1" t="s">
        <v>196</v>
      </c>
      <c r="F72" s="2" t="s">
        <v>216</v>
      </c>
      <c r="G72" s="1">
        <v>914397915</v>
      </c>
      <c r="H72" s="68" t="s">
        <v>197</v>
      </c>
      <c r="I72" s="1" t="s">
        <v>42</v>
      </c>
      <c r="J72" s="1"/>
      <c r="K72" s="24">
        <v>0</v>
      </c>
      <c r="L72" s="24">
        <v>0</v>
      </c>
      <c r="M72" s="30" t="s">
        <v>200</v>
      </c>
      <c r="N72" s="60">
        <v>23.77</v>
      </c>
      <c r="O72" s="56" t="s">
        <v>200</v>
      </c>
      <c r="P72" s="95" t="s">
        <v>304</v>
      </c>
      <c r="Q72" s="141"/>
      <c r="R72" s="181">
        <v>25</v>
      </c>
      <c r="S72" s="179" t="s">
        <v>214</v>
      </c>
      <c r="T72" s="191" t="s">
        <v>594</v>
      </c>
      <c r="U72" s="214"/>
      <c r="V72" s="219"/>
      <c r="W72" s="26"/>
      <c r="X72" s="148"/>
    </row>
    <row r="73" spans="2:24" x14ac:dyDescent="0.3">
      <c r="B73" s="129">
        <v>71</v>
      </c>
      <c r="C73" s="83" t="s">
        <v>192</v>
      </c>
      <c r="D73" s="168" t="s">
        <v>738</v>
      </c>
      <c r="E73" s="19"/>
      <c r="F73" s="19"/>
      <c r="G73" s="19"/>
      <c r="H73" s="122" t="s">
        <v>194</v>
      </c>
      <c r="I73" s="19" t="s">
        <v>39</v>
      </c>
      <c r="J73" s="19"/>
      <c r="K73" s="124">
        <v>0</v>
      </c>
      <c r="L73" s="124">
        <v>0</v>
      </c>
      <c r="M73" s="123"/>
      <c r="N73" s="157"/>
      <c r="O73" s="158"/>
      <c r="P73" s="159"/>
      <c r="Q73" s="159"/>
      <c r="R73" s="184"/>
      <c r="S73" s="189"/>
      <c r="T73" s="195"/>
      <c r="U73" s="214"/>
      <c r="V73" s="219"/>
      <c r="W73" s="26"/>
      <c r="X73" s="148"/>
    </row>
    <row r="74" spans="2:24" x14ac:dyDescent="0.3">
      <c r="B74" s="8">
        <v>72</v>
      </c>
      <c r="C74" s="67" t="s">
        <v>309</v>
      </c>
      <c r="D74" s="6" t="s">
        <v>18</v>
      </c>
      <c r="E74" s="5" t="s">
        <v>310</v>
      </c>
      <c r="F74" s="6" t="s">
        <v>311</v>
      </c>
      <c r="G74" s="6">
        <v>933037345</v>
      </c>
      <c r="H74" s="73" t="s">
        <v>312</v>
      </c>
      <c r="I74" s="5" t="s">
        <v>42</v>
      </c>
      <c r="J74" s="5"/>
      <c r="K74" s="24">
        <v>0</v>
      </c>
      <c r="L74" s="24">
        <v>0</v>
      </c>
      <c r="M74" s="6"/>
      <c r="N74" s="87">
        <v>25</v>
      </c>
      <c r="O74" s="88" t="s">
        <v>214</v>
      </c>
      <c r="P74" s="98" t="s">
        <v>313</v>
      </c>
      <c r="Q74" s="144"/>
      <c r="R74" s="181">
        <v>25</v>
      </c>
      <c r="S74" s="179" t="s">
        <v>214</v>
      </c>
      <c r="T74" s="191" t="s">
        <v>642</v>
      </c>
      <c r="U74" s="214"/>
      <c r="V74" s="219"/>
      <c r="W74" s="26"/>
      <c r="X74" s="148"/>
    </row>
    <row r="75" spans="2:24" x14ac:dyDescent="0.3">
      <c r="B75" s="8">
        <v>73</v>
      </c>
      <c r="C75" s="67" t="s">
        <v>314</v>
      </c>
      <c r="D75" s="6" t="s">
        <v>18</v>
      </c>
      <c r="E75" s="5" t="s">
        <v>315</v>
      </c>
      <c r="F75" s="6" t="s">
        <v>316</v>
      </c>
      <c r="G75" s="6">
        <v>919343671</v>
      </c>
      <c r="H75" s="73" t="s">
        <v>317</v>
      </c>
      <c r="I75" s="5" t="s">
        <v>42</v>
      </c>
      <c r="J75" s="5"/>
      <c r="K75" s="24">
        <v>0</v>
      </c>
      <c r="L75" s="24">
        <v>0</v>
      </c>
      <c r="M75" s="6"/>
      <c r="N75" s="87">
        <v>25</v>
      </c>
      <c r="O75" s="88" t="s">
        <v>214</v>
      </c>
      <c r="P75" s="98" t="s">
        <v>318</v>
      </c>
      <c r="Q75" s="144"/>
      <c r="R75" s="181">
        <v>25</v>
      </c>
      <c r="S75" s="179" t="s">
        <v>214</v>
      </c>
      <c r="T75" s="191" t="s">
        <v>697</v>
      </c>
      <c r="U75" s="214"/>
      <c r="V75" s="219"/>
      <c r="W75" s="26"/>
      <c r="X75" s="148"/>
    </row>
    <row r="76" spans="2:24" x14ac:dyDescent="0.3">
      <c r="B76" s="8">
        <v>74</v>
      </c>
      <c r="C76" s="5" t="s">
        <v>324</v>
      </c>
      <c r="D76" s="6" t="s">
        <v>18</v>
      </c>
      <c r="E76" s="5" t="s">
        <v>325</v>
      </c>
      <c r="F76" s="6" t="s">
        <v>326</v>
      </c>
      <c r="G76" s="6">
        <v>5582988551400</v>
      </c>
      <c r="H76" s="73" t="s">
        <v>327</v>
      </c>
      <c r="I76" s="5" t="s">
        <v>20</v>
      </c>
      <c r="J76" s="5"/>
      <c r="K76" s="24">
        <v>0</v>
      </c>
      <c r="L76" s="24">
        <v>0</v>
      </c>
      <c r="M76" s="6"/>
      <c r="N76" s="87">
        <v>19.57</v>
      </c>
      <c r="O76" s="88" t="s">
        <v>200</v>
      </c>
      <c r="P76" s="98" t="s">
        <v>328</v>
      </c>
      <c r="Q76" s="144"/>
      <c r="R76" s="181">
        <v>25</v>
      </c>
      <c r="S76" s="187" t="s">
        <v>214</v>
      </c>
      <c r="T76" s="191" t="s">
        <v>595</v>
      </c>
      <c r="U76" s="214"/>
      <c r="V76" s="219"/>
      <c r="W76" s="26"/>
      <c r="X76" s="148"/>
    </row>
    <row r="77" spans="2:24" x14ac:dyDescent="0.3">
      <c r="B77" s="3">
        <v>75</v>
      </c>
      <c r="C77" s="1" t="s">
        <v>330</v>
      </c>
      <c r="D77" s="6" t="s">
        <v>18</v>
      </c>
      <c r="E77" s="1" t="s">
        <v>331</v>
      </c>
      <c r="F77" s="2" t="s">
        <v>733</v>
      </c>
      <c r="G77" s="2">
        <v>935255013</v>
      </c>
      <c r="H77" s="68" t="s">
        <v>332</v>
      </c>
      <c r="I77" s="1" t="s">
        <v>42</v>
      </c>
      <c r="J77" s="1"/>
      <c r="K77" s="24">
        <v>0</v>
      </c>
      <c r="L77" s="24">
        <v>0</v>
      </c>
      <c r="M77" s="2"/>
      <c r="N77" s="86">
        <v>23.77</v>
      </c>
      <c r="O77" s="85" t="s">
        <v>329</v>
      </c>
      <c r="P77" s="79" t="s">
        <v>405</v>
      </c>
      <c r="Q77" s="141"/>
      <c r="R77" s="181">
        <v>25</v>
      </c>
      <c r="S77" s="187" t="s">
        <v>214</v>
      </c>
      <c r="T77" s="191" t="s">
        <v>698</v>
      </c>
      <c r="U77" s="214"/>
      <c r="V77" s="219"/>
      <c r="W77" s="26"/>
      <c r="X77" s="148"/>
    </row>
    <row r="78" spans="2:24" x14ac:dyDescent="0.3">
      <c r="B78" s="3">
        <v>76</v>
      </c>
      <c r="C78" s="1" t="s">
        <v>333</v>
      </c>
      <c r="D78" s="6" t="s">
        <v>18</v>
      </c>
      <c r="E78" s="1" t="s">
        <v>335</v>
      </c>
      <c r="F78" s="2" t="s">
        <v>334</v>
      </c>
      <c r="G78" s="2">
        <v>917118502</v>
      </c>
      <c r="H78" s="90" t="s">
        <v>336</v>
      </c>
      <c r="I78" s="1" t="s">
        <v>42</v>
      </c>
      <c r="J78" s="1"/>
      <c r="K78" s="24">
        <v>0</v>
      </c>
      <c r="L78" s="24">
        <v>0</v>
      </c>
      <c r="M78" s="2"/>
      <c r="N78" s="86">
        <v>23.77</v>
      </c>
      <c r="O78" s="85" t="s">
        <v>329</v>
      </c>
      <c r="P78" s="95" t="s">
        <v>341</v>
      </c>
      <c r="Q78" s="141"/>
      <c r="R78" s="181">
        <v>25</v>
      </c>
      <c r="S78" s="187" t="s">
        <v>214</v>
      </c>
      <c r="T78" s="191" t="s">
        <v>656</v>
      </c>
      <c r="U78" s="214"/>
      <c r="V78" s="219"/>
      <c r="W78" s="26"/>
      <c r="X78" s="148"/>
    </row>
    <row r="79" spans="2:24" x14ac:dyDescent="0.3">
      <c r="B79" s="3">
        <v>77</v>
      </c>
      <c r="C79" s="5" t="s">
        <v>337</v>
      </c>
      <c r="D79" s="6" t="s">
        <v>18</v>
      </c>
      <c r="E79" s="5" t="s">
        <v>339</v>
      </c>
      <c r="F79" s="6" t="s">
        <v>340</v>
      </c>
      <c r="G79" s="6">
        <v>962828582</v>
      </c>
      <c r="H79" s="73" t="s">
        <v>338</v>
      </c>
      <c r="I79" s="5" t="s">
        <v>42</v>
      </c>
      <c r="J79" s="5"/>
      <c r="K79" s="24">
        <v>0</v>
      </c>
      <c r="L79" s="24">
        <v>0</v>
      </c>
      <c r="M79" s="6"/>
      <c r="N79" s="87">
        <v>25</v>
      </c>
      <c r="O79" s="88" t="s">
        <v>214</v>
      </c>
      <c r="P79" s="98" t="s">
        <v>347</v>
      </c>
      <c r="Q79" s="144"/>
      <c r="R79" s="181">
        <v>25</v>
      </c>
      <c r="S79" s="187" t="s">
        <v>214</v>
      </c>
      <c r="T79" s="191" t="s">
        <v>585</v>
      </c>
      <c r="U79" s="214"/>
      <c r="V79" s="219"/>
      <c r="W79" s="26"/>
      <c r="X79" s="148"/>
    </row>
    <row r="80" spans="2:24" x14ac:dyDescent="0.3">
      <c r="B80" s="91">
        <v>78</v>
      </c>
      <c r="C80" s="5" t="s">
        <v>343</v>
      </c>
      <c r="D80" s="6" t="s">
        <v>18</v>
      </c>
      <c r="E80" s="5" t="s">
        <v>344</v>
      </c>
      <c r="F80" s="6" t="s">
        <v>345</v>
      </c>
      <c r="G80" s="6">
        <v>939610479</v>
      </c>
      <c r="H80" s="73" t="s">
        <v>346</v>
      </c>
      <c r="I80" s="5" t="s">
        <v>42</v>
      </c>
      <c r="J80" s="5"/>
      <c r="K80" s="24">
        <v>0</v>
      </c>
      <c r="L80" s="24">
        <v>0</v>
      </c>
      <c r="M80" s="6"/>
      <c r="N80" s="87">
        <v>25</v>
      </c>
      <c r="O80" s="88" t="s">
        <v>214</v>
      </c>
      <c r="P80" s="98" t="s">
        <v>348</v>
      </c>
      <c r="Q80" s="144"/>
      <c r="R80" s="181">
        <v>25</v>
      </c>
      <c r="S80" s="187" t="s">
        <v>214</v>
      </c>
      <c r="T80" s="191" t="s">
        <v>583</v>
      </c>
      <c r="U80" s="214"/>
      <c r="V80" s="219"/>
      <c r="W80" s="26"/>
      <c r="X80" s="148"/>
    </row>
    <row r="81" spans="2:24" x14ac:dyDescent="0.3">
      <c r="B81" s="8">
        <v>79</v>
      </c>
      <c r="C81" s="5" t="s">
        <v>349</v>
      </c>
      <c r="D81" s="6" t="s">
        <v>18</v>
      </c>
      <c r="E81" s="5" t="s">
        <v>350</v>
      </c>
      <c r="F81" s="6" t="s">
        <v>351</v>
      </c>
      <c r="G81" s="6">
        <v>963350132</v>
      </c>
      <c r="H81" s="73" t="s">
        <v>352</v>
      </c>
      <c r="I81" s="5" t="s">
        <v>42</v>
      </c>
      <c r="J81" s="5"/>
      <c r="K81" s="24">
        <v>0</v>
      </c>
      <c r="L81" s="24">
        <v>0</v>
      </c>
      <c r="M81" s="6"/>
      <c r="N81" s="87">
        <v>25</v>
      </c>
      <c r="O81" s="88" t="s">
        <v>214</v>
      </c>
      <c r="P81" s="98" t="s">
        <v>353</v>
      </c>
      <c r="Q81" s="144"/>
      <c r="R81" s="181">
        <v>25</v>
      </c>
      <c r="S81" s="187" t="s">
        <v>214</v>
      </c>
      <c r="T81" s="191" t="s">
        <v>690</v>
      </c>
      <c r="U81" s="214"/>
      <c r="V81" s="219"/>
      <c r="W81" s="26"/>
      <c r="X81" s="148"/>
    </row>
    <row r="82" spans="2:24" x14ac:dyDescent="0.3">
      <c r="B82" s="3">
        <v>80</v>
      </c>
      <c r="C82" s="1" t="s">
        <v>354</v>
      </c>
      <c r="D82" s="2" t="s">
        <v>18</v>
      </c>
      <c r="E82" s="1" t="s">
        <v>361</v>
      </c>
      <c r="F82" s="2" t="s">
        <v>360</v>
      </c>
      <c r="G82" s="2">
        <v>962783125</v>
      </c>
      <c r="H82" s="68" t="s">
        <v>729</v>
      </c>
      <c r="I82" s="1" t="s">
        <v>42</v>
      </c>
      <c r="J82" s="1"/>
      <c r="K82" s="24">
        <v>0</v>
      </c>
      <c r="L82" s="24">
        <v>0</v>
      </c>
      <c r="M82" s="2"/>
      <c r="N82" s="86">
        <v>25</v>
      </c>
      <c r="O82" s="88" t="s">
        <v>214</v>
      </c>
      <c r="P82" s="95" t="s">
        <v>362</v>
      </c>
      <c r="Q82" s="141"/>
      <c r="R82" s="181">
        <v>25</v>
      </c>
      <c r="S82" s="187" t="s">
        <v>214</v>
      </c>
      <c r="T82" s="191" t="s">
        <v>687</v>
      </c>
      <c r="U82" s="214"/>
      <c r="V82" s="219"/>
      <c r="W82" s="26"/>
      <c r="X82" s="148"/>
    </row>
    <row r="83" spans="2:24" x14ac:dyDescent="0.3">
      <c r="B83" s="3">
        <v>81</v>
      </c>
      <c r="C83" s="162" t="s">
        <v>355</v>
      </c>
      <c r="D83" s="6" t="s">
        <v>18</v>
      </c>
      <c r="E83" s="5" t="s">
        <v>356</v>
      </c>
      <c r="F83" s="6" t="s">
        <v>357</v>
      </c>
      <c r="G83" s="78">
        <v>351914704486</v>
      </c>
      <c r="H83" s="73"/>
      <c r="I83" s="5" t="s">
        <v>42</v>
      </c>
      <c r="J83" s="5"/>
      <c r="K83" s="24">
        <v>0</v>
      </c>
      <c r="L83" s="24">
        <v>0</v>
      </c>
      <c r="M83" s="6"/>
      <c r="N83" s="87">
        <v>25</v>
      </c>
      <c r="O83" s="88" t="s">
        <v>214</v>
      </c>
      <c r="P83" s="98" t="s">
        <v>359</v>
      </c>
      <c r="Q83" s="144"/>
      <c r="R83" s="182"/>
      <c r="S83" s="188"/>
      <c r="T83" s="192"/>
      <c r="U83" s="214"/>
      <c r="V83" s="219"/>
      <c r="W83" s="26"/>
      <c r="X83" s="148"/>
    </row>
    <row r="84" spans="2:24" x14ac:dyDescent="0.3">
      <c r="B84" s="8">
        <v>82</v>
      </c>
      <c r="C84" s="164" t="s">
        <v>363</v>
      </c>
      <c r="D84" s="6" t="s">
        <v>18</v>
      </c>
      <c r="E84" s="5" t="s">
        <v>364</v>
      </c>
      <c r="F84" s="6">
        <v>88164220</v>
      </c>
      <c r="G84" s="78">
        <v>48991858801</v>
      </c>
      <c r="H84" s="73" t="s">
        <v>365</v>
      </c>
      <c r="I84" s="5" t="s">
        <v>42</v>
      </c>
      <c r="J84" s="5"/>
      <c r="K84" s="24">
        <v>0</v>
      </c>
      <c r="L84" s="24">
        <v>0</v>
      </c>
      <c r="M84" s="6"/>
      <c r="N84" s="87">
        <v>25</v>
      </c>
      <c r="O84" s="88" t="s">
        <v>214</v>
      </c>
      <c r="P84" s="95" t="s">
        <v>370</v>
      </c>
      <c r="Q84" s="141"/>
      <c r="R84" s="185">
        <v>25</v>
      </c>
      <c r="S84" s="187" t="s">
        <v>214</v>
      </c>
      <c r="T84" s="191" t="s">
        <v>706</v>
      </c>
      <c r="U84" s="214"/>
      <c r="V84" s="219"/>
      <c r="W84" s="26"/>
      <c r="X84" s="148"/>
    </row>
    <row r="85" spans="2:24" x14ac:dyDescent="0.3">
      <c r="B85" s="3">
        <v>83</v>
      </c>
      <c r="C85" s="5" t="s">
        <v>366</v>
      </c>
      <c r="D85" s="6" t="s">
        <v>18</v>
      </c>
      <c r="E85" s="5" t="s">
        <v>367</v>
      </c>
      <c r="F85" s="6" t="s">
        <v>368</v>
      </c>
      <c r="G85" s="78">
        <v>926040640</v>
      </c>
      <c r="H85" s="73" t="s">
        <v>369</v>
      </c>
      <c r="I85" s="5" t="s">
        <v>42</v>
      </c>
      <c r="J85" s="5"/>
      <c r="K85" s="24">
        <v>0</v>
      </c>
      <c r="L85" s="24">
        <v>0</v>
      </c>
      <c r="M85" s="6"/>
      <c r="N85" s="87">
        <v>25</v>
      </c>
      <c r="O85" s="88" t="s">
        <v>200</v>
      </c>
      <c r="P85" s="101" t="s">
        <v>372</v>
      </c>
      <c r="Q85" s="144"/>
      <c r="R85" s="185">
        <v>25</v>
      </c>
      <c r="S85" s="190" t="s">
        <v>200</v>
      </c>
      <c r="T85" s="196"/>
      <c r="U85" s="214"/>
      <c r="V85" s="219"/>
      <c r="W85" s="26"/>
      <c r="X85" s="148"/>
    </row>
    <row r="86" spans="2:24" x14ac:dyDescent="0.3">
      <c r="B86" s="3">
        <v>84</v>
      </c>
      <c r="C86" s="9" t="s">
        <v>373</v>
      </c>
      <c r="D86" s="6" t="s">
        <v>18</v>
      </c>
      <c r="E86" s="1" t="s">
        <v>374</v>
      </c>
      <c r="F86" s="2" t="s">
        <v>375</v>
      </c>
      <c r="G86" s="77">
        <v>964703480</v>
      </c>
      <c r="H86" s="68" t="s">
        <v>376</v>
      </c>
      <c r="I86" s="5" t="s">
        <v>42</v>
      </c>
      <c r="J86" s="5"/>
      <c r="K86" s="24">
        <v>0</v>
      </c>
      <c r="L86" s="24">
        <v>0</v>
      </c>
      <c r="M86" s="2"/>
      <c r="N86" s="86">
        <v>25</v>
      </c>
      <c r="O86" s="88" t="s">
        <v>200</v>
      </c>
      <c r="P86" s="79" t="s">
        <v>403</v>
      </c>
      <c r="Q86" s="141"/>
      <c r="R86" s="185">
        <v>25</v>
      </c>
      <c r="S86" s="187" t="s">
        <v>214</v>
      </c>
      <c r="T86" s="191" t="s">
        <v>770</v>
      </c>
      <c r="U86" s="214"/>
      <c r="V86" s="219"/>
      <c r="W86" s="26"/>
      <c r="X86" s="148"/>
    </row>
    <row r="87" spans="2:24" x14ac:dyDescent="0.3">
      <c r="B87" s="3">
        <v>85</v>
      </c>
      <c r="C87" s="1" t="s">
        <v>377</v>
      </c>
      <c r="D87" s="6" t="s">
        <v>18</v>
      </c>
      <c r="E87" s="1" t="s">
        <v>378</v>
      </c>
      <c r="F87" s="2" t="s">
        <v>734</v>
      </c>
      <c r="G87" s="77">
        <v>11999172581</v>
      </c>
      <c r="H87" s="68" t="s">
        <v>379</v>
      </c>
      <c r="I87" s="5" t="s">
        <v>20</v>
      </c>
      <c r="J87" s="5"/>
      <c r="K87" s="24">
        <v>0</v>
      </c>
      <c r="L87" s="24">
        <v>0</v>
      </c>
      <c r="M87" s="2"/>
      <c r="N87" s="86">
        <v>25</v>
      </c>
      <c r="O87" s="88" t="s">
        <v>200</v>
      </c>
      <c r="P87" s="79" t="s">
        <v>404</v>
      </c>
      <c r="Q87" s="141"/>
      <c r="R87" s="185">
        <v>25</v>
      </c>
      <c r="S87" s="179" t="s">
        <v>571</v>
      </c>
      <c r="T87" s="191" t="s">
        <v>663</v>
      </c>
      <c r="U87" s="214"/>
      <c r="V87" s="219"/>
      <c r="W87" s="26"/>
      <c r="X87" s="148"/>
    </row>
    <row r="88" spans="2:24" x14ac:dyDescent="0.3">
      <c r="B88" s="3">
        <v>86</v>
      </c>
      <c r="C88" s="1" t="s">
        <v>380</v>
      </c>
      <c r="D88" s="6" t="s">
        <v>18</v>
      </c>
      <c r="E88" s="1" t="s">
        <v>381</v>
      </c>
      <c r="F88" s="2" t="s">
        <v>382</v>
      </c>
      <c r="G88" s="77">
        <v>937099667</v>
      </c>
      <c r="H88" s="68" t="s">
        <v>383</v>
      </c>
      <c r="I88" s="5" t="s">
        <v>42</v>
      </c>
      <c r="J88" s="5"/>
      <c r="K88" s="24">
        <v>0</v>
      </c>
      <c r="L88" s="24">
        <v>0</v>
      </c>
      <c r="M88" s="2"/>
      <c r="N88" s="86">
        <v>25</v>
      </c>
      <c r="O88" s="88" t="s">
        <v>214</v>
      </c>
      <c r="P88" s="79" t="s">
        <v>384</v>
      </c>
      <c r="Q88" s="141"/>
      <c r="R88" s="185">
        <v>25</v>
      </c>
      <c r="S88" s="179" t="s">
        <v>214</v>
      </c>
      <c r="T88" s="191" t="s">
        <v>696</v>
      </c>
      <c r="U88" s="214"/>
      <c r="V88" s="219"/>
      <c r="W88" s="26"/>
      <c r="X88" s="148"/>
    </row>
    <row r="89" spans="2:24" x14ac:dyDescent="0.3">
      <c r="B89" s="3">
        <v>87</v>
      </c>
      <c r="C89" s="1" t="s">
        <v>385</v>
      </c>
      <c r="D89" s="6" t="s">
        <v>18</v>
      </c>
      <c r="E89" s="1" t="s">
        <v>386</v>
      </c>
      <c r="F89" s="2" t="s">
        <v>387</v>
      </c>
      <c r="G89" s="77">
        <v>912509910</v>
      </c>
      <c r="H89" s="68" t="s">
        <v>388</v>
      </c>
      <c r="I89" s="5" t="s">
        <v>42</v>
      </c>
      <c r="J89" s="5"/>
      <c r="K89" s="24">
        <v>0</v>
      </c>
      <c r="L89" s="24">
        <v>0</v>
      </c>
      <c r="M89" s="2"/>
      <c r="N89" s="86">
        <v>25</v>
      </c>
      <c r="O89" s="88" t="s">
        <v>214</v>
      </c>
      <c r="P89" s="79" t="s">
        <v>389</v>
      </c>
      <c r="Q89" s="141"/>
      <c r="R89" s="181">
        <v>25</v>
      </c>
      <c r="S89" s="187" t="s">
        <v>214</v>
      </c>
      <c r="T89" s="191" t="s">
        <v>657</v>
      </c>
      <c r="U89" s="214"/>
      <c r="V89" s="219"/>
      <c r="W89" s="26"/>
      <c r="X89" s="148"/>
    </row>
    <row r="90" spans="2:24" x14ac:dyDescent="0.3">
      <c r="B90" s="3">
        <v>88</v>
      </c>
      <c r="C90" s="1" t="s">
        <v>396</v>
      </c>
      <c r="D90" s="6" t="s">
        <v>18</v>
      </c>
      <c r="E90" s="1" t="s">
        <v>398</v>
      </c>
      <c r="F90" s="2" t="s">
        <v>399</v>
      </c>
      <c r="G90" s="77" t="s">
        <v>400</v>
      </c>
      <c r="H90" s="68" t="s">
        <v>397</v>
      </c>
      <c r="I90" s="5" t="s">
        <v>42</v>
      </c>
      <c r="J90" s="5"/>
      <c r="K90" s="24">
        <v>0</v>
      </c>
      <c r="L90" s="24">
        <v>0</v>
      </c>
      <c r="M90" s="2"/>
      <c r="N90" s="86">
        <v>25</v>
      </c>
      <c r="O90" s="88" t="s">
        <v>401</v>
      </c>
      <c r="P90" s="79" t="s">
        <v>402</v>
      </c>
      <c r="Q90" s="141"/>
      <c r="R90" s="181">
        <v>25</v>
      </c>
      <c r="S90" s="187" t="s">
        <v>214</v>
      </c>
      <c r="T90" s="191" t="s">
        <v>658</v>
      </c>
      <c r="U90" s="214"/>
      <c r="V90" s="219"/>
      <c r="W90" s="26"/>
      <c r="X90" s="148"/>
    </row>
    <row r="91" spans="2:24" x14ac:dyDescent="0.3">
      <c r="B91" s="3">
        <v>89</v>
      </c>
      <c r="C91" s="1" t="s">
        <v>392</v>
      </c>
      <c r="D91" s="6" t="s">
        <v>18</v>
      </c>
      <c r="E91" s="1" t="s">
        <v>393</v>
      </c>
      <c r="F91" s="2" t="s">
        <v>394</v>
      </c>
      <c r="G91" s="77">
        <v>914717649</v>
      </c>
      <c r="H91" s="68" t="s">
        <v>395</v>
      </c>
      <c r="I91" s="5" t="s">
        <v>42</v>
      </c>
      <c r="J91" s="5"/>
      <c r="K91" s="24">
        <v>0</v>
      </c>
      <c r="L91" s="24">
        <v>0</v>
      </c>
      <c r="M91" s="2"/>
      <c r="N91" s="86">
        <v>25</v>
      </c>
      <c r="O91" s="88" t="s">
        <v>214</v>
      </c>
      <c r="P91" s="79" t="s">
        <v>416</v>
      </c>
      <c r="Q91" s="141"/>
      <c r="R91" s="181">
        <v>25</v>
      </c>
      <c r="S91" s="187" t="s">
        <v>214</v>
      </c>
      <c r="T91" s="191" t="s">
        <v>688</v>
      </c>
      <c r="U91" s="214"/>
      <c r="V91" s="219"/>
      <c r="W91" s="26"/>
      <c r="X91" s="148"/>
    </row>
    <row r="92" spans="2:24" x14ac:dyDescent="0.3">
      <c r="B92" s="8">
        <v>90</v>
      </c>
      <c r="C92" s="19" t="s">
        <v>417</v>
      </c>
      <c r="D92" s="6" t="s">
        <v>18</v>
      </c>
      <c r="E92" s="5" t="s">
        <v>418</v>
      </c>
      <c r="F92" s="6" t="s">
        <v>419</v>
      </c>
      <c r="G92" s="78" t="s">
        <v>420</v>
      </c>
      <c r="H92" s="73" t="s">
        <v>421</v>
      </c>
      <c r="I92" s="5" t="s">
        <v>20</v>
      </c>
      <c r="J92" s="5"/>
      <c r="K92" s="24">
        <v>0</v>
      </c>
      <c r="L92" s="24">
        <v>0</v>
      </c>
      <c r="M92" s="6"/>
      <c r="N92" s="87">
        <v>25</v>
      </c>
      <c r="O92" s="88" t="s">
        <v>214</v>
      </c>
      <c r="P92" s="101" t="s">
        <v>422</v>
      </c>
      <c r="Q92" s="144"/>
      <c r="R92" s="181">
        <v>25</v>
      </c>
      <c r="S92" s="179" t="s">
        <v>571</v>
      </c>
      <c r="T92" s="191" t="s">
        <v>742</v>
      </c>
      <c r="U92" s="214"/>
      <c r="V92" s="219"/>
      <c r="W92" s="26"/>
      <c r="X92" s="148"/>
    </row>
    <row r="93" spans="2:24" x14ac:dyDescent="0.3">
      <c r="B93" s="3">
        <v>91</v>
      </c>
      <c r="C93" s="1" t="s">
        <v>423</v>
      </c>
      <c r="D93" s="2" t="s">
        <v>18</v>
      </c>
      <c r="E93" s="1" t="s">
        <v>424</v>
      </c>
      <c r="F93" s="6" t="s">
        <v>425</v>
      </c>
      <c r="G93" s="78">
        <v>17991452569</v>
      </c>
      <c r="H93" s="73" t="s">
        <v>426</v>
      </c>
      <c r="I93" s="5" t="s">
        <v>20</v>
      </c>
      <c r="J93" s="5"/>
      <c r="K93" s="88">
        <v>0</v>
      </c>
      <c r="L93" s="88">
        <v>0</v>
      </c>
      <c r="M93" s="6"/>
      <c r="N93" s="87">
        <v>25</v>
      </c>
      <c r="O93" s="88" t="s">
        <v>214</v>
      </c>
      <c r="P93" s="101" t="s">
        <v>427</v>
      </c>
      <c r="Q93" s="144"/>
      <c r="R93" s="185">
        <v>25</v>
      </c>
      <c r="S93" s="179" t="s">
        <v>571</v>
      </c>
      <c r="T93" s="191" t="s">
        <v>664</v>
      </c>
      <c r="U93" s="214"/>
      <c r="V93" s="219"/>
      <c r="W93" s="26"/>
      <c r="X93" s="148"/>
    </row>
    <row r="94" spans="2:24" x14ac:dyDescent="0.3">
      <c r="B94" s="91">
        <v>92</v>
      </c>
      <c r="C94" s="5" t="s">
        <v>428</v>
      </c>
      <c r="D94" s="6" t="s">
        <v>18</v>
      </c>
      <c r="E94" s="5" t="s">
        <v>429</v>
      </c>
      <c r="F94" s="6" t="s">
        <v>430</v>
      </c>
      <c r="G94" s="78">
        <v>5583999473870</v>
      </c>
      <c r="H94" s="73" t="s">
        <v>431</v>
      </c>
      <c r="I94" s="5" t="s">
        <v>20</v>
      </c>
      <c r="J94" s="5"/>
      <c r="K94" s="88">
        <v>0</v>
      </c>
      <c r="L94" s="88">
        <v>0</v>
      </c>
      <c r="M94" s="6"/>
      <c r="N94" s="87">
        <v>25</v>
      </c>
      <c r="O94" s="88" t="s">
        <v>214</v>
      </c>
      <c r="P94" s="101" t="s">
        <v>432</v>
      </c>
      <c r="Q94" s="144"/>
      <c r="R94" s="185">
        <v>25</v>
      </c>
      <c r="S94" s="187" t="s">
        <v>214</v>
      </c>
      <c r="T94" s="191" t="s">
        <v>596</v>
      </c>
      <c r="U94" s="214"/>
      <c r="V94" s="219"/>
      <c r="W94" s="26"/>
      <c r="X94" s="148"/>
    </row>
    <row r="95" spans="2:24" x14ac:dyDescent="0.3">
      <c r="B95" s="8">
        <v>93</v>
      </c>
      <c r="C95" s="5" t="s">
        <v>433</v>
      </c>
      <c r="D95" s="6" t="s">
        <v>18</v>
      </c>
      <c r="E95" s="5" t="s">
        <v>434</v>
      </c>
      <c r="F95" s="6" t="s">
        <v>435</v>
      </c>
      <c r="G95" s="78">
        <v>5548991350665</v>
      </c>
      <c r="H95" s="73" t="s">
        <v>436</v>
      </c>
      <c r="I95" s="5" t="s">
        <v>20</v>
      </c>
      <c r="J95" s="5"/>
      <c r="K95" s="88">
        <v>0</v>
      </c>
      <c r="L95" s="88">
        <v>0</v>
      </c>
      <c r="M95" s="6"/>
      <c r="N95" s="87">
        <v>25</v>
      </c>
      <c r="O95" s="88" t="s">
        <v>214</v>
      </c>
      <c r="P95" s="79" t="s">
        <v>446</v>
      </c>
      <c r="Q95" s="144"/>
      <c r="R95" s="185">
        <v>25</v>
      </c>
      <c r="S95" s="179" t="s">
        <v>571</v>
      </c>
      <c r="T95" s="191" t="s">
        <v>685</v>
      </c>
      <c r="U95" s="214"/>
      <c r="V95" s="219"/>
      <c r="W95" s="26"/>
      <c r="X95" s="148"/>
    </row>
    <row r="96" spans="2:24" x14ac:dyDescent="0.3">
      <c r="B96" s="3">
        <v>94</v>
      </c>
      <c r="C96" s="1" t="s">
        <v>437</v>
      </c>
      <c r="D96" s="2" t="s">
        <v>18</v>
      </c>
      <c r="E96" s="1" t="s">
        <v>439</v>
      </c>
      <c r="F96" s="2">
        <v>30170001</v>
      </c>
      <c r="G96" s="77" t="s">
        <v>440</v>
      </c>
      <c r="H96" s="68" t="s">
        <v>438</v>
      </c>
      <c r="I96" s="1" t="s">
        <v>20</v>
      </c>
      <c r="J96" s="1"/>
      <c r="K96" s="85">
        <v>0</v>
      </c>
      <c r="L96" s="85">
        <v>0</v>
      </c>
      <c r="M96" s="2"/>
      <c r="N96" s="87">
        <v>25</v>
      </c>
      <c r="O96" s="88" t="s">
        <v>200</v>
      </c>
      <c r="P96" s="79" t="s">
        <v>444</v>
      </c>
      <c r="Q96" s="141"/>
      <c r="R96" s="181">
        <v>25</v>
      </c>
      <c r="S96" s="179" t="s">
        <v>571</v>
      </c>
      <c r="T96" s="191" t="s">
        <v>606</v>
      </c>
      <c r="U96" s="214"/>
      <c r="V96" s="219"/>
      <c r="W96" s="26"/>
      <c r="X96" s="148"/>
    </row>
    <row r="97" spans="1:24" x14ac:dyDescent="0.3">
      <c r="B97" s="3">
        <v>95</v>
      </c>
      <c r="C97" s="5" t="s">
        <v>441</v>
      </c>
      <c r="D97" s="6" t="s">
        <v>18</v>
      </c>
      <c r="E97" s="5" t="s">
        <v>439</v>
      </c>
      <c r="F97" s="6">
        <v>30170001</v>
      </c>
      <c r="G97" s="78" t="s">
        <v>443</v>
      </c>
      <c r="H97" s="73" t="s">
        <v>442</v>
      </c>
      <c r="I97" s="5" t="s">
        <v>20</v>
      </c>
      <c r="J97" s="5"/>
      <c r="K97" s="88">
        <v>0</v>
      </c>
      <c r="L97" s="88">
        <v>0</v>
      </c>
      <c r="M97" s="6"/>
      <c r="N97" s="87">
        <v>25</v>
      </c>
      <c r="O97" s="88" t="s">
        <v>200</v>
      </c>
      <c r="P97" s="101" t="s">
        <v>445</v>
      </c>
      <c r="Q97" s="144"/>
      <c r="R97" s="181">
        <v>25</v>
      </c>
      <c r="S97" s="179" t="s">
        <v>571</v>
      </c>
      <c r="T97" s="191" t="s">
        <v>607</v>
      </c>
      <c r="U97" s="214"/>
      <c r="V97" s="219"/>
      <c r="W97" s="26"/>
      <c r="X97" s="148"/>
    </row>
    <row r="98" spans="1:24" x14ac:dyDescent="0.3">
      <c r="B98" s="3">
        <v>96</v>
      </c>
      <c r="C98" s="1" t="s">
        <v>447</v>
      </c>
      <c r="D98" s="2" t="s">
        <v>18</v>
      </c>
      <c r="E98" s="1" t="s">
        <v>448</v>
      </c>
      <c r="F98" s="2" t="s">
        <v>449</v>
      </c>
      <c r="G98" s="77">
        <v>62984081284</v>
      </c>
      <c r="H98" s="68" t="s">
        <v>450</v>
      </c>
      <c r="I98" s="1" t="s">
        <v>20</v>
      </c>
      <c r="J98" s="1"/>
      <c r="K98" s="85">
        <v>0</v>
      </c>
      <c r="L98" s="85">
        <v>0</v>
      </c>
      <c r="M98" s="2"/>
      <c r="N98" s="86">
        <v>25</v>
      </c>
      <c r="O98" s="85" t="s">
        <v>200</v>
      </c>
      <c r="P98" s="101" t="s">
        <v>456</v>
      </c>
      <c r="Q98" s="144"/>
      <c r="R98" s="181">
        <v>25</v>
      </c>
      <c r="S98" s="179" t="s">
        <v>571</v>
      </c>
      <c r="T98" s="191" t="s">
        <v>608</v>
      </c>
      <c r="U98" s="214"/>
      <c r="V98" s="219"/>
      <c r="W98" s="26"/>
      <c r="X98" s="148"/>
    </row>
    <row r="99" spans="1:24" x14ac:dyDescent="0.3">
      <c r="B99" s="3">
        <v>97</v>
      </c>
      <c r="C99" s="1" t="s">
        <v>451</v>
      </c>
      <c r="D99" s="2" t="s">
        <v>18</v>
      </c>
      <c r="E99" s="1" t="s">
        <v>452</v>
      </c>
      <c r="F99" s="2" t="s">
        <v>453</v>
      </c>
      <c r="G99" s="77">
        <v>54996999422</v>
      </c>
      <c r="H99" s="68" t="s">
        <v>454</v>
      </c>
      <c r="I99" s="1" t="s">
        <v>20</v>
      </c>
      <c r="J99" s="2" t="s">
        <v>455</v>
      </c>
      <c r="K99" s="85">
        <v>0</v>
      </c>
      <c r="L99" s="85">
        <v>0</v>
      </c>
      <c r="M99" s="2"/>
      <c r="N99" s="86">
        <v>25</v>
      </c>
      <c r="O99" s="85" t="s">
        <v>200</v>
      </c>
      <c r="P99" s="79" t="s">
        <v>460</v>
      </c>
      <c r="Q99" s="141"/>
      <c r="R99" s="181">
        <v>25</v>
      </c>
      <c r="S99" s="179" t="s">
        <v>214</v>
      </c>
      <c r="T99" s="191" t="s">
        <v>627</v>
      </c>
      <c r="U99" s="214"/>
      <c r="V99" s="219"/>
      <c r="W99" s="26"/>
      <c r="X99" s="148"/>
    </row>
    <row r="100" spans="1:24" x14ac:dyDescent="0.3">
      <c r="B100" s="3">
        <v>98</v>
      </c>
      <c r="C100" t="s">
        <v>457</v>
      </c>
      <c r="D100" s="2" t="s">
        <v>18</v>
      </c>
      <c r="E100" s="1" t="s">
        <v>458</v>
      </c>
      <c r="F100" s="2">
        <v>35560000</v>
      </c>
      <c r="G100" s="77">
        <v>37999052500</v>
      </c>
      <c r="H100" s="68" t="s">
        <v>459</v>
      </c>
      <c r="I100" s="1" t="s">
        <v>20</v>
      </c>
      <c r="J100" s="2">
        <v>51612151604</v>
      </c>
      <c r="K100" s="85">
        <v>0</v>
      </c>
      <c r="L100" s="85">
        <v>0</v>
      </c>
      <c r="M100" s="2"/>
      <c r="N100" s="86">
        <v>25</v>
      </c>
      <c r="O100" s="85" t="s">
        <v>200</v>
      </c>
      <c r="P100" s="79" t="s">
        <v>461</v>
      </c>
      <c r="Q100" s="141"/>
      <c r="R100" s="181">
        <v>25</v>
      </c>
      <c r="S100" s="179" t="s">
        <v>214</v>
      </c>
      <c r="T100" s="191" t="s">
        <v>654</v>
      </c>
      <c r="U100" s="214"/>
      <c r="V100" s="219"/>
      <c r="W100" s="26"/>
      <c r="X100" s="148"/>
    </row>
    <row r="101" spans="1:24" x14ac:dyDescent="0.3">
      <c r="B101" s="3">
        <v>99</v>
      </c>
      <c r="C101" s="1" t="s">
        <v>466</v>
      </c>
      <c r="D101" s="2" t="s">
        <v>18</v>
      </c>
      <c r="E101" s="1" t="s">
        <v>467</v>
      </c>
      <c r="F101" s="2" t="s">
        <v>468</v>
      </c>
      <c r="G101" s="77">
        <v>5554996711840</v>
      </c>
      <c r="H101" s="68" t="s">
        <v>469</v>
      </c>
      <c r="I101" s="1" t="s">
        <v>20</v>
      </c>
      <c r="J101" s="2" t="s">
        <v>470</v>
      </c>
      <c r="K101" s="85">
        <v>0</v>
      </c>
      <c r="L101" s="85">
        <v>0</v>
      </c>
      <c r="M101" s="2"/>
      <c r="N101" s="86">
        <v>25</v>
      </c>
      <c r="O101" s="88" t="s">
        <v>214</v>
      </c>
      <c r="P101" s="79" t="s">
        <v>471</v>
      </c>
      <c r="Q101" s="141"/>
      <c r="R101" s="181">
        <v>25</v>
      </c>
      <c r="S101" s="179" t="s">
        <v>214</v>
      </c>
      <c r="T101" s="191" t="s">
        <v>653</v>
      </c>
      <c r="U101" s="214"/>
      <c r="V101" s="219"/>
      <c r="W101" s="26"/>
      <c r="X101" s="148"/>
    </row>
    <row r="102" spans="1:24" x14ac:dyDescent="0.3">
      <c r="B102" s="3">
        <v>100</v>
      </c>
      <c r="C102" s="133" t="s">
        <v>472</v>
      </c>
      <c r="D102" s="6" t="s">
        <v>18</v>
      </c>
      <c r="E102" s="133" t="s">
        <v>473</v>
      </c>
      <c r="F102" s="134" t="s">
        <v>474</v>
      </c>
      <c r="G102" s="135">
        <v>5517997732122</v>
      </c>
      <c r="H102" s="68" t="s">
        <v>475</v>
      </c>
      <c r="I102" s="133" t="s">
        <v>20</v>
      </c>
      <c r="J102" s="134">
        <v>7215755878</v>
      </c>
      <c r="K102" s="136">
        <v>0</v>
      </c>
      <c r="L102" s="136">
        <v>0</v>
      </c>
      <c r="M102" s="134"/>
      <c r="N102" s="137">
        <v>25</v>
      </c>
      <c r="O102" s="88" t="s">
        <v>214</v>
      </c>
      <c r="P102" s="79" t="s">
        <v>482</v>
      </c>
      <c r="Q102" s="150"/>
      <c r="R102" s="186">
        <v>25</v>
      </c>
      <c r="S102" s="179" t="s">
        <v>214</v>
      </c>
      <c r="T102" s="191" t="s">
        <v>641</v>
      </c>
      <c r="U102" s="214"/>
      <c r="V102" s="219"/>
      <c r="W102" s="26"/>
      <c r="X102" s="148"/>
    </row>
    <row r="103" spans="1:24" x14ac:dyDescent="0.3">
      <c r="B103" s="3">
        <v>101</v>
      </c>
      <c r="C103" s="1" t="s">
        <v>476</v>
      </c>
      <c r="D103" s="6" t="s">
        <v>18</v>
      </c>
      <c r="E103" s="1" t="s">
        <v>477</v>
      </c>
      <c r="F103" s="2" t="s">
        <v>478</v>
      </c>
      <c r="G103" t="s">
        <v>479</v>
      </c>
      <c r="H103" s="68" t="s">
        <v>481</v>
      </c>
      <c r="I103" s="1" t="s">
        <v>20</v>
      </c>
      <c r="J103" t="s">
        <v>480</v>
      </c>
      <c r="K103" s="85">
        <v>0</v>
      </c>
      <c r="L103" s="85">
        <v>0</v>
      </c>
      <c r="M103" s="2"/>
      <c r="N103" s="86">
        <v>25</v>
      </c>
      <c r="O103" s="88" t="s">
        <v>214</v>
      </c>
      <c r="P103" s="79" t="s">
        <v>483</v>
      </c>
      <c r="Q103" s="141"/>
      <c r="R103" s="186">
        <v>25</v>
      </c>
      <c r="S103" s="179" t="s">
        <v>571</v>
      </c>
      <c r="T103" s="191" t="s">
        <v>666</v>
      </c>
      <c r="U103" s="214"/>
      <c r="V103" s="219"/>
      <c r="W103" s="26"/>
      <c r="X103" s="148"/>
    </row>
    <row r="104" spans="1:24" x14ac:dyDescent="0.3">
      <c r="B104" s="3">
        <v>102</v>
      </c>
      <c r="C104" s="1" t="s">
        <v>462</v>
      </c>
      <c r="D104" s="2" t="s">
        <v>18</v>
      </c>
      <c r="E104" s="1" t="s">
        <v>463</v>
      </c>
      <c r="F104" s="2" t="s">
        <v>464</v>
      </c>
      <c r="G104" s="77">
        <v>351914581915</v>
      </c>
      <c r="H104" s="68" t="s">
        <v>465</v>
      </c>
      <c r="I104" s="1" t="s">
        <v>42</v>
      </c>
      <c r="J104" s="2">
        <v>196919363</v>
      </c>
      <c r="K104" s="85">
        <v>0</v>
      </c>
      <c r="L104" s="85">
        <v>0</v>
      </c>
      <c r="M104" s="2"/>
      <c r="N104" s="86">
        <v>25</v>
      </c>
      <c r="O104" s="88" t="s">
        <v>214</v>
      </c>
      <c r="P104" s="79" t="s">
        <v>505</v>
      </c>
      <c r="Q104" s="141"/>
      <c r="R104" s="181">
        <v>25</v>
      </c>
      <c r="S104" s="187" t="s">
        <v>214</v>
      </c>
      <c r="T104" s="191" t="s">
        <v>620</v>
      </c>
      <c r="U104" s="214"/>
      <c r="V104" s="219"/>
      <c r="W104" s="26"/>
      <c r="X104" s="148"/>
    </row>
    <row r="105" spans="1:24" x14ac:dyDescent="0.3">
      <c r="B105" s="3">
        <v>103</v>
      </c>
      <c r="C105" s="1" t="s">
        <v>484</v>
      </c>
      <c r="D105" s="2" t="s">
        <v>18</v>
      </c>
      <c r="E105" s="1" t="s">
        <v>485</v>
      </c>
      <c r="F105" s="2" t="s">
        <v>486</v>
      </c>
      <c r="G105" s="77">
        <v>5517991115555</v>
      </c>
      <c r="H105" s="68" t="s">
        <v>487</v>
      </c>
      <c r="I105" s="1" t="s">
        <v>20</v>
      </c>
      <c r="J105" s="2"/>
      <c r="K105" s="85">
        <v>0</v>
      </c>
      <c r="L105" s="85">
        <v>0</v>
      </c>
      <c r="M105" s="2"/>
      <c r="N105" s="86">
        <v>25</v>
      </c>
      <c r="O105" s="88" t="s">
        <v>200</v>
      </c>
      <c r="P105" s="79" t="s">
        <v>492</v>
      </c>
      <c r="Q105" s="141"/>
      <c r="R105" s="181">
        <v>25</v>
      </c>
      <c r="S105" s="179" t="s">
        <v>571</v>
      </c>
      <c r="T105" s="191" t="s">
        <v>684</v>
      </c>
      <c r="U105" s="214"/>
      <c r="V105" s="219"/>
      <c r="W105" s="26"/>
      <c r="X105" s="148"/>
    </row>
    <row r="106" spans="1:24" x14ac:dyDescent="0.3">
      <c r="B106" s="3">
        <v>104</v>
      </c>
      <c r="C106" s="161" t="s">
        <v>488</v>
      </c>
      <c r="D106" s="2" t="s">
        <v>18</v>
      </c>
      <c r="E106" s="1" t="s">
        <v>489</v>
      </c>
      <c r="F106" s="2" t="s">
        <v>490</v>
      </c>
      <c r="G106" s="77">
        <v>5531971294733</v>
      </c>
      <c r="H106" s="68" t="s">
        <v>491</v>
      </c>
      <c r="I106" s="1" t="s">
        <v>20</v>
      </c>
      <c r="J106" s="2"/>
      <c r="K106" s="85">
        <v>0</v>
      </c>
      <c r="L106" s="85">
        <v>0</v>
      </c>
      <c r="M106" s="2"/>
      <c r="N106" s="86">
        <v>25</v>
      </c>
      <c r="O106" s="88" t="s">
        <v>200</v>
      </c>
      <c r="P106" s="79" t="s">
        <v>493</v>
      </c>
      <c r="Q106" s="141"/>
      <c r="R106" s="182"/>
      <c r="S106" s="179"/>
      <c r="T106" s="192"/>
      <c r="U106" s="214"/>
      <c r="V106" s="219"/>
      <c r="W106" s="26"/>
      <c r="X106" s="148"/>
    </row>
    <row r="107" spans="1:24" x14ac:dyDescent="0.3">
      <c r="B107" s="3">
        <v>105</v>
      </c>
      <c r="C107" s="1" t="s">
        <v>499</v>
      </c>
      <c r="D107" s="2" t="s">
        <v>18</v>
      </c>
      <c r="E107" s="9" t="s">
        <v>500</v>
      </c>
      <c r="F107" s="2" t="s">
        <v>501</v>
      </c>
      <c r="G107" s="77">
        <v>5592988011504</v>
      </c>
      <c r="H107" s="68" t="s">
        <v>502</v>
      </c>
      <c r="I107" s="1" t="s">
        <v>20</v>
      </c>
      <c r="J107" s="2"/>
      <c r="K107" s="85">
        <v>0</v>
      </c>
      <c r="L107" s="85">
        <v>0</v>
      </c>
      <c r="M107" s="2"/>
      <c r="N107" s="86">
        <v>25</v>
      </c>
      <c r="O107" s="88" t="s">
        <v>200</v>
      </c>
      <c r="P107" s="79" t="s">
        <v>503</v>
      </c>
      <c r="Q107" s="141"/>
      <c r="R107" s="181">
        <v>25</v>
      </c>
      <c r="S107" s="179" t="s">
        <v>571</v>
      </c>
      <c r="T107" s="191" t="s">
        <v>695</v>
      </c>
      <c r="U107" s="214"/>
      <c r="V107" s="219"/>
      <c r="W107" s="26"/>
      <c r="X107" s="148"/>
    </row>
    <row r="108" spans="1:24" x14ac:dyDescent="0.3">
      <c r="B108" s="8">
        <v>106</v>
      </c>
      <c r="C108" s="5" t="s">
        <v>494</v>
      </c>
      <c r="D108" s="6" t="s">
        <v>18</v>
      </c>
      <c r="E108" s="19" t="s">
        <v>496</v>
      </c>
      <c r="F108" s="6" t="s">
        <v>497</v>
      </c>
      <c r="G108" s="78">
        <v>5562981334000</v>
      </c>
      <c r="H108" s="73" t="s">
        <v>498</v>
      </c>
      <c r="I108" s="5" t="s">
        <v>20</v>
      </c>
      <c r="J108" s="6"/>
      <c r="K108" s="88">
        <v>0</v>
      </c>
      <c r="L108" s="88">
        <v>0</v>
      </c>
      <c r="M108" s="6"/>
      <c r="N108" s="87">
        <v>25</v>
      </c>
      <c r="O108" s="88" t="s">
        <v>200</v>
      </c>
      <c r="P108" s="101" t="s">
        <v>495</v>
      </c>
      <c r="Q108" s="144"/>
      <c r="R108" s="185">
        <v>25</v>
      </c>
      <c r="S108" s="190" t="s">
        <v>200</v>
      </c>
      <c r="T108" s="197" t="s">
        <v>504</v>
      </c>
      <c r="U108" s="214"/>
      <c r="V108" s="219"/>
      <c r="W108" s="26"/>
      <c r="X108" s="148"/>
    </row>
    <row r="109" spans="1:24" x14ac:dyDescent="0.3">
      <c r="B109" s="8">
        <v>107</v>
      </c>
      <c r="C109" s="19" t="s">
        <v>544</v>
      </c>
      <c r="D109" s="6" t="s">
        <v>18</v>
      </c>
      <c r="E109" s="19" t="s">
        <v>506</v>
      </c>
      <c r="F109" s="6" t="s">
        <v>507</v>
      </c>
      <c r="G109" s="78">
        <v>5517991075087</v>
      </c>
      <c r="H109" s="73" t="s">
        <v>508</v>
      </c>
      <c r="I109" s="5" t="s">
        <v>20</v>
      </c>
      <c r="J109" s="6"/>
      <c r="K109" s="88">
        <v>0</v>
      </c>
      <c r="L109" s="88">
        <v>0</v>
      </c>
      <c r="M109" s="6"/>
      <c r="N109" s="87">
        <v>25</v>
      </c>
      <c r="O109" s="88" t="s">
        <v>214</v>
      </c>
      <c r="P109" s="101" t="s">
        <v>509</v>
      </c>
      <c r="Q109" s="144"/>
      <c r="R109" s="185">
        <v>25</v>
      </c>
      <c r="S109" s="179" t="s">
        <v>571</v>
      </c>
      <c r="T109" s="197" t="s">
        <v>780</v>
      </c>
      <c r="U109" s="214"/>
      <c r="V109" s="219"/>
      <c r="W109" s="26"/>
      <c r="X109" s="148"/>
    </row>
    <row r="110" spans="1:24" x14ac:dyDescent="0.3">
      <c r="A110" s="1"/>
      <c r="B110" s="3">
        <v>108</v>
      </c>
      <c r="C110" s="1" t="s">
        <v>510</v>
      </c>
      <c r="D110" s="6" t="s">
        <v>18</v>
      </c>
      <c r="E110" s="9" t="s">
        <v>511</v>
      </c>
      <c r="F110" s="2" t="s">
        <v>512</v>
      </c>
      <c r="G110" s="77">
        <v>5592999813627</v>
      </c>
      <c r="H110" s="68" t="s">
        <v>514</v>
      </c>
      <c r="I110" s="1" t="s">
        <v>20</v>
      </c>
      <c r="J110" s="2" t="s">
        <v>513</v>
      </c>
      <c r="K110" s="85">
        <v>0</v>
      </c>
      <c r="L110" s="85">
        <v>0</v>
      </c>
      <c r="M110" s="2"/>
      <c r="N110" s="86">
        <v>25</v>
      </c>
      <c r="O110" s="88" t="s">
        <v>214</v>
      </c>
      <c r="P110" s="101" t="s">
        <v>515</v>
      </c>
      <c r="Q110" s="144"/>
      <c r="R110" s="181">
        <v>25</v>
      </c>
      <c r="S110" s="187" t="s">
        <v>214</v>
      </c>
      <c r="T110" s="191" t="s">
        <v>621</v>
      </c>
      <c r="U110" s="214"/>
      <c r="V110" s="219"/>
      <c r="W110" s="26"/>
      <c r="X110" s="148"/>
    </row>
    <row r="111" spans="1:24" x14ac:dyDescent="0.3">
      <c r="A111" s="1"/>
      <c r="B111" s="3">
        <v>109</v>
      </c>
      <c r="C111" s="1" t="s">
        <v>516</v>
      </c>
      <c r="D111" s="6" t="s">
        <v>18</v>
      </c>
      <c r="E111" t="s">
        <v>517</v>
      </c>
      <c r="F111" s="2" t="s">
        <v>518</v>
      </c>
      <c r="G111" s="77">
        <v>5592991327310</v>
      </c>
      <c r="H111" s="68" t="s">
        <v>520</v>
      </c>
      <c r="I111" s="1" t="s">
        <v>20</v>
      </c>
      <c r="J111" s="2" t="s">
        <v>519</v>
      </c>
      <c r="K111" s="85">
        <v>0</v>
      </c>
      <c r="L111" s="85">
        <v>0</v>
      </c>
      <c r="M111" s="2"/>
      <c r="N111" s="86">
        <v>25</v>
      </c>
      <c r="O111" s="88" t="s">
        <v>214</v>
      </c>
      <c r="P111" s="101" t="s">
        <v>521</v>
      </c>
      <c r="Q111" s="144"/>
      <c r="R111" s="181">
        <v>25</v>
      </c>
      <c r="S111" s="187" t="s">
        <v>214</v>
      </c>
      <c r="T111" s="191" t="s">
        <v>650</v>
      </c>
      <c r="U111" s="214"/>
      <c r="V111" s="219"/>
      <c r="W111" s="26"/>
      <c r="X111" s="148"/>
    </row>
    <row r="112" spans="1:24" x14ac:dyDescent="0.3">
      <c r="A112" s="1"/>
      <c r="B112" s="3">
        <v>110</v>
      </c>
      <c r="C112" s="1" t="s">
        <v>609</v>
      </c>
      <c r="D112" s="6" t="s">
        <v>18</v>
      </c>
      <c r="E112" s="9" t="s">
        <v>522</v>
      </c>
      <c r="F112" s="2" t="s">
        <v>523</v>
      </c>
      <c r="G112" s="77">
        <v>5584999102956</v>
      </c>
      <c r="H112" s="68" t="s">
        <v>524</v>
      </c>
      <c r="I112" s="1" t="s">
        <v>20</v>
      </c>
      <c r="J112" s="2" t="s">
        <v>525</v>
      </c>
      <c r="K112" s="85">
        <v>0</v>
      </c>
      <c r="L112" s="85">
        <v>0</v>
      </c>
      <c r="M112" s="2"/>
      <c r="N112" s="86">
        <v>25</v>
      </c>
      <c r="O112" s="85" t="s">
        <v>198</v>
      </c>
      <c r="P112" s="101" t="s">
        <v>526</v>
      </c>
      <c r="Q112" s="144"/>
      <c r="R112" s="181">
        <v>25</v>
      </c>
      <c r="S112" s="179" t="s">
        <v>571</v>
      </c>
      <c r="T112" s="191" t="s">
        <v>610</v>
      </c>
      <c r="U112" s="214"/>
      <c r="V112" s="219"/>
      <c r="W112" s="26"/>
      <c r="X112" s="148"/>
    </row>
    <row r="113" spans="1:24" x14ac:dyDescent="0.3">
      <c r="A113" s="1"/>
      <c r="B113" s="3">
        <v>111</v>
      </c>
      <c r="C113" s="1" t="s">
        <v>527</v>
      </c>
      <c r="D113" s="6" t="s">
        <v>18</v>
      </c>
      <c r="E113" s="9" t="s">
        <v>528</v>
      </c>
      <c r="F113" s="2" t="s">
        <v>529</v>
      </c>
      <c r="G113" s="77">
        <v>5541992579450</v>
      </c>
      <c r="H113" s="68" t="s">
        <v>531</v>
      </c>
      <c r="I113" s="1" t="s">
        <v>20</v>
      </c>
      <c r="J113" s="2" t="s">
        <v>530</v>
      </c>
      <c r="K113" s="85">
        <v>0</v>
      </c>
      <c r="L113" s="85">
        <v>0</v>
      </c>
      <c r="M113" s="2"/>
      <c r="N113" s="86">
        <v>25</v>
      </c>
      <c r="O113" s="85" t="s">
        <v>198</v>
      </c>
      <c r="P113" s="101" t="s">
        <v>532</v>
      </c>
      <c r="Q113" s="144"/>
      <c r="R113" s="181">
        <v>25</v>
      </c>
      <c r="S113" s="179" t="s">
        <v>214</v>
      </c>
      <c r="T113" s="191" t="s">
        <v>659</v>
      </c>
      <c r="U113" s="214"/>
      <c r="V113" s="219"/>
      <c r="W113" s="26"/>
      <c r="X113" s="148"/>
    </row>
    <row r="114" spans="1:24" x14ac:dyDescent="0.3">
      <c r="A114" s="1"/>
      <c r="B114" s="3">
        <v>112</v>
      </c>
      <c r="C114" s="1" t="s">
        <v>538</v>
      </c>
      <c r="D114" s="2" t="s">
        <v>18</v>
      </c>
      <c r="E114" s="9" t="s">
        <v>539</v>
      </c>
      <c r="F114" s="2" t="s">
        <v>540</v>
      </c>
      <c r="G114" s="77">
        <v>5516981329493</v>
      </c>
      <c r="H114" s="68" t="s">
        <v>541</v>
      </c>
      <c r="I114" s="1" t="s">
        <v>20</v>
      </c>
      <c r="J114" s="2" t="s">
        <v>542</v>
      </c>
      <c r="K114" s="85">
        <v>0</v>
      </c>
      <c r="L114" s="85">
        <v>0</v>
      </c>
      <c r="M114" s="2"/>
      <c r="N114" s="86">
        <v>25</v>
      </c>
      <c r="O114" s="85" t="s">
        <v>214</v>
      </c>
      <c r="P114" s="101" t="s">
        <v>543</v>
      </c>
      <c r="Q114" s="144"/>
      <c r="R114" s="181">
        <v>25</v>
      </c>
      <c r="S114" s="179" t="s">
        <v>214</v>
      </c>
      <c r="T114" s="191" t="s">
        <v>699</v>
      </c>
      <c r="U114" s="214"/>
      <c r="V114" s="219"/>
      <c r="W114" s="26"/>
      <c r="X114" s="148"/>
    </row>
    <row r="115" spans="1:24" x14ac:dyDescent="0.3">
      <c r="A115" s="1"/>
      <c r="B115" s="3">
        <v>113</v>
      </c>
      <c r="C115" s="1" t="s">
        <v>545</v>
      </c>
      <c r="D115" s="6" t="s">
        <v>18</v>
      </c>
      <c r="E115" s="9" t="s">
        <v>546</v>
      </c>
      <c r="F115" s="2" t="s">
        <v>547</v>
      </c>
      <c r="G115" s="77">
        <v>5511989322328</v>
      </c>
      <c r="H115" s="68" t="s">
        <v>548</v>
      </c>
      <c r="I115" s="1" t="s">
        <v>20</v>
      </c>
      <c r="J115" s="2">
        <v>5113904830</v>
      </c>
      <c r="K115" s="85">
        <v>0</v>
      </c>
      <c r="L115" s="85">
        <v>0</v>
      </c>
      <c r="M115" s="2"/>
      <c r="N115" s="86">
        <v>25</v>
      </c>
      <c r="O115" s="85" t="s">
        <v>198</v>
      </c>
      <c r="P115" s="101" t="s">
        <v>549</v>
      </c>
      <c r="Q115" s="144"/>
      <c r="R115" s="181">
        <v>25</v>
      </c>
      <c r="S115" s="179" t="s">
        <v>597</v>
      </c>
      <c r="T115" s="191" t="s">
        <v>643</v>
      </c>
      <c r="U115" s="214"/>
      <c r="V115" s="219"/>
      <c r="W115" s="26"/>
      <c r="X115" s="148"/>
    </row>
    <row r="116" spans="1:24" x14ac:dyDescent="0.3">
      <c r="A116" s="26"/>
      <c r="B116" s="3">
        <v>114</v>
      </c>
      <c r="C116" s="133" t="s">
        <v>550</v>
      </c>
      <c r="D116" s="6" t="s">
        <v>18</v>
      </c>
      <c r="E116" s="9" t="s">
        <v>551</v>
      </c>
      <c r="F116" s="2" t="s">
        <v>552</v>
      </c>
      <c r="G116" s="77">
        <v>5527981569121</v>
      </c>
      <c r="H116" s="68" t="s">
        <v>553</v>
      </c>
      <c r="I116" s="1" t="s">
        <v>20</v>
      </c>
      <c r="J116" s="2">
        <v>3928857789</v>
      </c>
      <c r="K116" s="85">
        <v>0</v>
      </c>
      <c r="L116" s="85">
        <v>0</v>
      </c>
      <c r="M116" s="2"/>
      <c r="N116" s="86">
        <v>25</v>
      </c>
      <c r="O116" s="85" t="s">
        <v>214</v>
      </c>
      <c r="P116" s="101" t="s">
        <v>554</v>
      </c>
      <c r="Q116" s="144"/>
      <c r="R116" s="181">
        <v>25</v>
      </c>
      <c r="S116" s="179" t="s">
        <v>597</v>
      </c>
      <c r="T116" s="191" t="s">
        <v>598</v>
      </c>
      <c r="U116" s="214"/>
      <c r="V116" s="219"/>
      <c r="W116" s="26"/>
      <c r="X116" s="148"/>
    </row>
    <row r="117" spans="1:24" x14ac:dyDescent="0.3">
      <c r="B117" s="3">
        <v>115</v>
      </c>
      <c r="C117" s="5" t="s">
        <v>555</v>
      </c>
      <c r="D117" s="6" t="s">
        <v>18</v>
      </c>
      <c r="E117" s="19" t="s">
        <v>556</v>
      </c>
      <c r="F117" s="6" t="s">
        <v>558</v>
      </c>
      <c r="G117" s="78">
        <v>351924875536</v>
      </c>
      <c r="H117" s="73" t="s">
        <v>557</v>
      </c>
      <c r="I117" s="5" t="s">
        <v>42</v>
      </c>
      <c r="J117" s="6">
        <v>270892478</v>
      </c>
      <c r="K117" s="88">
        <v>0</v>
      </c>
      <c r="L117" s="88">
        <v>0</v>
      </c>
      <c r="M117" s="6"/>
      <c r="N117" s="87">
        <v>25</v>
      </c>
      <c r="O117" s="88" t="s">
        <v>200</v>
      </c>
      <c r="P117" s="101" t="s">
        <v>562</v>
      </c>
      <c r="Q117" s="150"/>
      <c r="R117" s="181">
        <v>25</v>
      </c>
      <c r="S117" s="190" t="s">
        <v>200</v>
      </c>
      <c r="T117" s="191" t="s">
        <v>705</v>
      </c>
      <c r="U117" s="214"/>
      <c r="V117" s="219"/>
      <c r="W117" s="26"/>
      <c r="X117" s="148"/>
    </row>
    <row r="118" spans="1:24" x14ac:dyDescent="0.3">
      <c r="B118" s="3">
        <v>116</v>
      </c>
      <c r="C118" s="5" t="s">
        <v>559</v>
      </c>
      <c r="D118" s="6" t="s">
        <v>18</v>
      </c>
      <c r="E118" s="19" t="s">
        <v>560</v>
      </c>
      <c r="F118" s="6" t="s">
        <v>565</v>
      </c>
      <c r="G118" s="78" t="s">
        <v>564</v>
      </c>
      <c r="H118" s="73" t="s">
        <v>563</v>
      </c>
      <c r="I118" s="5" t="s">
        <v>20</v>
      </c>
      <c r="J118" s="6"/>
      <c r="K118" s="88">
        <v>0</v>
      </c>
      <c r="L118" s="88">
        <v>0</v>
      </c>
      <c r="M118" s="6"/>
      <c r="N118" s="86">
        <v>25</v>
      </c>
      <c r="O118" s="85" t="s">
        <v>214</v>
      </c>
      <c r="P118" s="79" t="s">
        <v>561</v>
      </c>
      <c r="Q118" s="141"/>
      <c r="R118" s="181">
        <v>25</v>
      </c>
      <c r="S118" s="179" t="s">
        <v>597</v>
      </c>
      <c r="T118" s="191" t="s">
        <v>622</v>
      </c>
      <c r="U118" s="214"/>
      <c r="V118" s="221">
        <v>25</v>
      </c>
      <c r="W118" s="85" t="s">
        <v>597</v>
      </c>
      <c r="X118" s="148"/>
    </row>
    <row r="119" spans="1:24" x14ac:dyDescent="0.3">
      <c r="B119" s="3">
        <v>117</v>
      </c>
      <c r="C119" s="1" t="s">
        <v>566</v>
      </c>
      <c r="D119" s="6" t="s">
        <v>18</v>
      </c>
      <c r="E119" s="19" t="s">
        <v>567</v>
      </c>
      <c r="F119" s="6" t="s">
        <v>568</v>
      </c>
      <c r="G119" s="78">
        <v>5511996606077</v>
      </c>
      <c r="H119" s="73" t="s">
        <v>569</v>
      </c>
      <c r="I119" s="5" t="s">
        <v>20</v>
      </c>
      <c r="J119" s="6">
        <v>15309382879</v>
      </c>
      <c r="K119" s="88">
        <v>0</v>
      </c>
      <c r="L119" s="88">
        <v>0</v>
      </c>
      <c r="M119" s="6"/>
      <c r="N119" s="139">
        <v>0</v>
      </c>
      <c r="O119" s="136"/>
      <c r="P119" s="111"/>
      <c r="Q119" s="150"/>
      <c r="R119" s="186">
        <v>25</v>
      </c>
      <c r="S119" s="179" t="s">
        <v>571</v>
      </c>
      <c r="T119" s="197" t="s">
        <v>573</v>
      </c>
      <c r="U119" s="214"/>
      <c r="V119" s="219"/>
      <c r="W119" s="26"/>
      <c r="X119" s="148"/>
    </row>
    <row r="120" spans="1:24" x14ac:dyDescent="0.3">
      <c r="B120" s="3">
        <v>118</v>
      </c>
      <c r="C120" s="11" t="s">
        <v>574</v>
      </c>
      <c r="D120" s="6" t="s">
        <v>18</v>
      </c>
      <c r="E120" s="19" t="s">
        <v>575</v>
      </c>
      <c r="F120" s="6" t="s">
        <v>576</v>
      </c>
      <c r="G120" s="78" t="s">
        <v>577</v>
      </c>
      <c r="H120" s="73" t="s">
        <v>578</v>
      </c>
      <c r="I120" s="5" t="s">
        <v>20</v>
      </c>
      <c r="J120" s="6" t="s">
        <v>579</v>
      </c>
      <c r="K120" s="88">
        <v>0</v>
      </c>
      <c r="L120" s="88">
        <v>0</v>
      </c>
      <c r="M120" s="6"/>
      <c r="N120" s="132">
        <v>0</v>
      </c>
      <c r="O120" s="88"/>
      <c r="P120" s="146"/>
      <c r="Q120" s="144"/>
      <c r="R120" s="185">
        <v>25</v>
      </c>
      <c r="S120" s="179" t="s">
        <v>571</v>
      </c>
      <c r="T120" s="197" t="s">
        <v>580</v>
      </c>
      <c r="U120" s="214"/>
      <c r="V120" s="219"/>
      <c r="W120" s="26"/>
      <c r="X120" s="148"/>
    </row>
    <row r="121" spans="1:24" x14ac:dyDescent="0.3">
      <c r="B121" s="3">
        <v>119</v>
      </c>
      <c r="C121" s="133" t="s">
        <v>588</v>
      </c>
      <c r="D121" s="6" t="s">
        <v>18</v>
      </c>
      <c r="E121" s="19" t="s">
        <v>589</v>
      </c>
      <c r="F121" s="6" t="s">
        <v>590</v>
      </c>
      <c r="G121" s="152">
        <v>351924875160</v>
      </c>
      <c r="H121" s="73" t="s">
        <v>591</v>
      </c>
      <c r="I121" s="5" t="s">
        <v>42</v>
      </c>
      <c r="J121" s="6">
        <v>275087026</v>
      </c>
      <c r="K121" s="88">
        <v>0</v>
      </c>
      <c r="L121" s="88">
        <v>0</v>
      </c>
      <c r="M121" s="6"/>
      <c r="N121" s="132">
        <v>0</v>
      </c>
      <c r="O121" s="88"/>
      <c r="P121" s="146"/>
      <c r="Q121" s="144"/>
      <c r="R121" s="185">
        <v>25</v>
      </c>
      <c r="S121" s="190" t="s">
        <v>592</v>
      </c>
      <c r="T121" s="197" t="s">
        <v>593</v>
      </c>
      <c r="U121" s="215"/>
      <c r="V121" s="222"/>
      <c r="W121" s="37"/>
      <c r="X121" s="151"/>
    </row>
    <row r="122" spans="1:24" x14ac:dyDescent="0.3">
      <c r="B122" s="3">
        <v>120</v>
      </c>
      <c r="C122" s="5" t="s">
        <v>628</v>
      </c>
      <c r="D122" s="6" t="s">
        <v>18</v>
      </c>
      <c r="E122" s="19" t="s">
        <v>629</v>
      </c>
      <c r="F122" s="6">
        <v>14025610</v>
      </c>
      <c r="G122" s="152">
        <v>5563999948988</v>
      </c>
      <c r="H122" s="73" t="s">
        <v>630</v>
      </c>
      <c r="I122" s="5" t="s">
        <v>20</v>
      </c>
      <c r="J122" s="6">
        <v>28321987168</v>
      </c>
      <c r="K122" s="88">
        <v>0</v>
      </c>
      <c r="L122" s="88">
        <v>0</v>
      </c>
      <c r="M122" s="6"/>
      <c r="N122" s="132">
        <v>0</v>
      </c>
      <c r="O122" s="88"/>
      <c r="P122" s="146"/>
      <c r="Q122" s="144"/>
      <c r="R122" s="185">
        <v>25</v>
      </c>
      <c r="S122" s="190" t="s">
        <v>571</v>
      </c>
      <c r="T122" s="197" t="s">
        <v>631</v>
      </c>
      <c r="U122" s="215"/>
      <c r="V122" s="222"/>
      <c r="W122" s="5"/>
      <c r="X122" s="151"/>
    </row>
    <row r="123" spans="1:24" x14ac:dyDescent="0.3">
      <c r="B123" s="91">
        <v>121</v>
      </c>
      <c r="C123" s="5" t="s">
        <v>635</v>
      </c>
      <c r="D123" s="6" t="s">
        <v>18</v>
      </c>
      <c r="E123" s="19" t="s">
        <v>636</v>
      </c>
      <c r="F123" s="6" t="s">
        <v>637</v>
      </c>
      <c r="G123" s="152">
        <v>5511971552546</v>
      </c>
      <c r="H123" s="73" t="s">
        <v>638</v>
      </c>
      <c r="I123" s="5" t="s">
        <v>20</v>
      </c>
      <c r="J123" s="6" t="s">
        <v>639</v>
      </c>
      <c r="K123" s="88">
        <v>0</v>
      </c>
      <c r="L123" s="88">
        <v>0</v>
      </c>
      <c r="M123" s="6"/>
      <c r="N123" s="132">
        <v>0</v>
      </c>
      <c r="O123" s="88"/>
      <c r="P123" s="146"/>
      <c r="Q123" s="144"/>
      <c r="R123" s="185">
        <v>25</v>
      </c>
      <c r="S123" s="190" t="s">
        <v>640</v>
      </c>
      <c r="T123" s="191" t="s">
        <v>648</v>
      </c>
      <c r="U123" s="215"/>
      <c r="V123" s="222"/>
      <c r="W123" s="5"/>
      <c r="X123" s="151"/>
    </row>
    <row r="124" spans="1:24" x14ac:dyDescent="0.3">
      <c r="B124" s="8">
        <v>122</v>
      </c>
      <c r="C124" s="5" t="s">
        <v>645</v>
      </c>
      <c r="D124" s="6" t="s">
        <v>18</v>
      </c>
      <c r="E124" s="19" t="s">
        <v>646</v>
      </c>
      <c r="F124" s="6" t="s">
        <v>647</v>
      </c>
      <c r="G124" s="152">
        <v>5566992298020</v>
      </c>
      <c r="H124" s="73" t="s">
        <v>649</v>
      </c>
      <c r="I124" s="5" t="s">
        <v>20</v>
      </c>
      <c r="J124" s="6">
        <v>3055798198</v>
      </c>
      <c r="K124" s="88">
        <v>0</v>
      </c>
      <c r="L124" s="88">
        <v>0</v>
      </c>
      <c r="M124" s="6"/>
      <c r="N124" s="132">
        <v>0</v>
      </c>
      <c r="O124" s="88"/>
      <c r="P124" s="146"/>
      <c r="Q124" s="144"/>
      <c r="R124" s="185">
        <v>25</v>
      </c>
      <c r="S124" s="190" t="s">
        <v>571</v>
      </c>
      <c r="T124" s="191" t="s">
        <v>672</v>
      </c>
      <c r="U124" s="215"/>
      <c r="V124" s="222"/>
      <c r="W124" s="5"/>
      <c r="X124" s="151"/>
    </row>
    <row r="125" spans="1:24" x14ac:dyDescent="0.3">
      <c r="B125" s="3">
        <v>123</v>
      </c>
      <c r="C125" s="1" t="s">
        <v>668</v>
      </c>
      <c r="D125" s="6" t="s">
        <v>18</v>
      </c>
      <c r="E125" s="9" t="s">
        <v>670</v>
      </c>
      <c r="F125" s="2" t="s">
        <v>671</v>
      </c>
      <c r="G125" s="147">
        <v>18186010433</v>
      </c>
      <c r="H125" s="68" t="s">
        <v>669</v>
      </c>
      <c r="I125" s="1" t="s">
        <v>176</v>
      </c>
      <c r="J125" s="2" t="s">
        <v>639</v>
      </c>
      <c r="K125" s="85">
        <v>0</v>
      </c>
      <c r="L125" s="85">
        <v>0</v>
      </c>
      <c r="M125" s="2"/>
      <c r="N125" s="110">
        <v>0</v>
      </c>
      <c r="O125" s="85"/>
      <c r="P125" s="111"/>
      <c r="Q125" s="141"/>
      <c r="R125" s="181">
        <v>25</v>
      </c>
      <c r="S125" s="190" t="s">
        <v>640</v>
      </c>
      <c r="T125" s="191" t="s">
        <v>673</v>
      </c>
      <c r="U125" s="214"/>
      <c r="V125" s="219"/>
      <c r="W125" s="1"/>
      <c r="X125" s="148"/>
    </row>
    <row r="126" spans="1:24" x14ac:dyDescent="0.3">
      <c r="B126" s="3">
        <v>124</v>
      </c>
      <c r="C126" s="1" t="s">
        <v>674</v>
      </c>
      <c r="D126" s="6" t="s">
        <v>18</v>
      </c>
      <c r="E126" s="9" t="s">
        <v>675</v>
      </c>
      <c r="F126" s="2" t="s">
        <v>676</v>
      </c>
      <c r="G126" s="147" t="s">
        <v>677</v>
      </c>
      <c r="H126" s="68" t="s">
        <v>678</v>
      </c>
      <c r="I126" s="1" t="s">
        <v>176</v>
      </c>
      <c r="J126" s="2" t="s">
        <v>639</v>
      </c>
      <c r="K126" s="85">
        <v>0</v>
      </c>
      <c r="L126" s="85">
        <v>0</v>
      </c>
      <c r="M126" s="2"/>
      <c r="N126" s="110">
        <v>0</v>
      </c>
      <c r="O126" s="85"/>
      <c r="P126" s="111"/>
      <c r="Q126" s="141"/>
      <c r="R126" s="181">
        <v>25</v>
      </c>
      <c r="S126" s="190" t="s">
        <v>640</v>
      </c>
      <c r="T126" s="191" t="s">
        <v>679</v>
      </c>
      <c r="U126" s="214"/>
      <c r="V126" s="219"/>
      <c r="W126" s="1"/>
      <c r="X126" s="148"/>
    </row>
    <row r="127" spans="1:24" x14ac:dyDescent="0.3">
      <c r="B127" s="3">
        <v>125</v>
      </c>
      <c r="C127" s="1" t="s">
        <v>681</v>
      </c>
      <c r="D127" s="6" t="s">
        <v>18</v>
      </c>
      <c r="E127" s="9" t="s">
        <v>675</v>
      </c>
      <c r="F127" s="2" t="s">
        <v>676</v>
      </c>
      <c r="G127" s="147" t="s">
        <v>682</v>
      </c>
      <c r="H127" s="68" t="s">
        <v>683</v>
      </c>
      <c r="I127" s="1" t="s">
        <v>176</v>
      </c>
      <c r="J127" s="2" t="s">
        <v>639</v>
      </c>
      <c r="K127" s="85">
        <v>0</v>
      </c>
      <c r="L127" s="85">
        <v>0</v>
      </c>
      <c r="M127" s="2"/>
      <c r="N127" s="110">
        <v>0</v>
      </c>
      <c r="O127" s="85"/>
      <c r="P127" s="111"/>
      <c r="Q127" s="141"/>
      <c r="R127" s="181">
        <v>25</v>
      </c>
      <c r="S127" s="190" t="s">
        <v>640</v>
      </c>
      <c r="T127" s="191" t="s">
        <v>680</v>
      </c>
      <c r="U127" s="214"/>
      <c r="V127" s="219"/>
      <c r="W127" s="1"/>
      <c r="X127" s="148"/>
    </row>
    <row r="128" spans="1:24" x14ac:dyDescent="0.3">
      <c r="B128" s="8">
        <v>126</v>
      </c>
      <c r="C128" s="5" t="s">
        <v>533</v>
      </c>
      <c r="D128" s="6" t="s">
        <v>18</v>
      </c>
      <c r="E128" s="19" t="s">
        <v>534</v>
      </c>
      <c r="F128" s="6" t="s">
        <v>535</v>
      </c>
      <c r="G128" s="78">
        <v>46702149300</v>
      </c>
      <c r="H128" s="73" t="s">
        <v>536</v>
      </c>
      <c r="I128" s="5" t="s">
        <v>537</v>
      </c>
      <c r="J128" s="6">
        <v>46702149300</v>
      </c>
      <c r="K128" s="88">
        <v>0</v>
      </c>
      <c r="L128" s="88">
        <v>0</v>
      </c>
      <c r="M128" s="6"/>
      <c r="N128" s="132">
        <v>0</v>
      </c>
      <c r="O128" s="88"/>
      <c r="P128" s="101"/>
      <c r="Q128" s="144"/>
      <c r="R128" s="185">
        <v>25</v>
      </c>
      <c r="S128" s="190" t="s">
        <v>597</v>
      </c>
      <c r="T128" s="197" t="s">
        <v>689</v>
      </c>
      <c r="U128" s="215"/>
      <c r="V128" s="222"/>
      <c r="W128" s="5"/>
      <c r="X128" s="151"/>
    </row>
    <row r="129" spans="2:24" x14ac:dyDescent="0.3">
      <c r="B129" s="3">
        <v>127</v>
      </c>
      <c r="C129" s="1" t="s">
        <v>744</v>
      </c>
      <c r="D129" s="2" t="s">
        <v>18</v>
      </c>
      <c r="E129" s="9" t="s">
        <v>745</v>
      </c>
      <c r="F129" s="2" t="s">
        <v>746</v>
      </c>
      <c r="G129" s="77">
        <v>5516991043276</v>
      </c>
      <c r="H129" s="68" t="s">
        <v>747</v>
      </c>
      <c r="I129" s="1" t="s">
        <v>20</v>
      </c>
      <c r="J129" s="2">
        <v>25231613894</v>
      </c>
      <c r="K129" s="85">
        <v>0</v>
      </c>
      <c r="L129" s="85">
        <v>0</v>
      </c>
      <c r="M129" s="2"/>
      <c r="N129" s="110">
        <v>0</v>
      </c>
      <c r="O129" s="85"/>
      <c r="P129" s="79"/>
      <c r="Q129" s="141"/>
      <c r="R129" s="181">
        <v>25</v>
      </c>
      <c r="S129" s="179" t="s">
        <v>571</v>
      </c>
      <c r="T129" s="191" t="s">
        <v>749</v>
      </c>
      <c r="U129" s="214"/>
      <c r="V129" s="219"/>
      <c r="W129" s="1"/>
      <c r="X129" s="148"/>
    </row>
    <row r="130" spans="2:24" x14ac:dyDescent="0.3">
      <c r="B130" s="8">
        <v>128</v>
      </c>
      <c r="C130" s="5" t="s">
        <v>748</v>
      </c>
      <c r="D130" s="6" t="s">
        <v>18</v>
      </c>
      <c r="E130" s="9" t="s">
        <v>745</v>
      </c>
      <c r="F130" s="6" t="s">
        <v>746</v>
      </c>
      <c r="G130" s="5">
        <v>5516981092027</v>
      </c>
      <c r="H130" s="201"/>
      <c r="I130" s="5" t="s">
        <v>20</v>
      </c>
      <c r="J130" s="6">
        <v>5075948863</v>
      </c>
      <c r="K130" s="88">
        <v>0</v>
      </c>
      <c r="L130" s="88">
        <v>0</v>
      </c>
      <c r="M130" s="6"/>
      <c r="N130" s="132">
        <v>0</v>
      </c>
      <c r="O130" s="88"/>
      <c r="P130" s="101"/>
      <c r="Q130" s="144"/>
      <c r="R130" s="185">
        <v>25</v>
      </c>
      <c r="S130" s="190" t="s">
        <v>571</v>
      </c>
      <c r="T130" s="197" t="s">
        <v>750</v>
      </c>
      <c r="U130" s="215"/>
      <c r="V130" s="222"/>
      <c r="W130" s="5"/>
      <c r="X130" s="151"/>
    </row>
    <row r="131" spans="2:24" x14ac:dyDescent="0.3">
      <c r="B131" s="3">
        <v>129</v>
      </c>
      <c r="C131" s="1" t="s">
        <v>756</v>
      </c>
      <c r="D131" s="6" t="s">
        <v>18</v>
      </c>
      <c r="E131" s="1" t="s">
        <v>757</v>
      </c>
      <c r="F131" s="2">
        <v>22030040</v>
      </c>
      <c r="G131" s="1">
        <v>5521999986802</v>
      </c>
      <c r="H131" s="130" t="s">
        <v>758</v>
      </c>
      <c r="I131" s="5" t="s">
        <v>20</v>
      </c>
      <c r="J131" s="2">
        <v>69909962772</v>
      </c>
      <c r="K131" s="85">
        <v>0</v>
      </c>
      <c r="L131" s="85">
        <v>0</v>
      </c>
      <c r="M131" s="2"/>
      <c r="N131" s="110">
        <v>0</v>
      </c>
      <c r="O131" s="85"/>
      <c r="P131" s="79"/>
      <c r="Q131" s="141"/>
      <c r="R131" s="185">
        <v>25</v>
      </c>
      <c r="S131" s="190" t="s">
        <v>640</v>
      </c>
      <c r="T131" s="191" t="s">
        <v>754</v>
      </c>
      <c r="U131" s="214"/>
      <c r="V131" s="219"/>
      <c r="W131" s="1"/>
      <c r="X131" s="148"/>
    </row>
    <row r="132" spans="2:24" x14ac:dyDescent="0.3">
      <c r="B132" s="3">
        <v>130</v>
      </c>
      <c r="C132" s="5" t="s">
        <v>759</v>
      </c>
      <c r="D132" s="6" t="s">
        <v>18</v>
      </c>
      <c r="E132" s="5" t="s">
        <v>760</v>
      </c>
      <c r="F132" s="6" t="s">
        <v>761</v>
      </c>
      <c r="G132" s="5">
        <v>5583999515207</v>
      </c>
      <c r="H132" s="201" t="s">
        <v>762</v>
      </c>
      <c r="I132" s="5" t="s">
        <v>20</v>
      </c>
      <c r="J132" s="134">
        <v>31319289487</v>
      </c>
      <c r="K132" s="88">
        <v>0</v>
      </c>
      <c r="L132" s="88">
        <v>0</v>
      </c>
      <c r="M132" s="6"/>
      <c r="N132" s="132">
        <v>0</v>
      </c>
      <c r="O132" s="88"/>
      <c r="P132" s="101"/>
      <c r="Q132" s="144"/>
      <c r="R132" s="185">
        <v>25</v>
      </c>
      <c r="S132" s="190" t="s">
        <v>640</v>
      </c>
      <c r="T132" s="197" t="s">
        <v>755</v>
      </c>
      <c r="U132" s="215"/>
      <c r="V132" s="222"/>
      <c r="W132" s="5"/>
      <c r="X132" s="151"/>
    </row>
    <row r="133" spans="2:24" ht="15" thickBot="1" x14ac:dyDescent="0.35">
      <c r="B133" s="91">
        <v>131</v>
      </c>
      <c r="C133" s="5" t="s">
        <v>763</v>
      </c>
      <c r="D133" s="6" t="s">
        <v>18</v>
      </c>
      <c r="E133" s="5" t="s">
        <v>764</v>
      </c>
      <c r="F133" s="6" t="s">
        <v>767</v>
      </c>
      <c r="G133" s="5">
        <v>66996363829</v>
      </c>
      <c r="H133" s="201" t="s">
        <v>765</v>
      </c>
      <c r="I133" s="5" t="s">
        <v>20</v>
      </c>
      <c r="J133" s="6">
        <v>4021036610</v>
      </c>
      <c r="K133" s="88">
        <v>0</v>
      </c>
      <c r="L133" s="88">
        <v>0</v>
      </c>
      <c r="M133" s="6"/>
      <c r="N133" s="132">
        <v>0</v>
      </c>
      <c r="O133" s="88"/>
      <c r="P133" s="101"/>
      <c r="Q133" s="144"/>
      <c r="R133" s="208">
        <v>25</v>
      </c>
      <c r="S133" s="206" t="s">
        <v>571</v>
      </c>
      <c r="T133" s="197" t="s">
        <v>766</v>
      </c>
      <c r="U133" s="215"/>
      <c r="V133" s="222"/>
      <c r="W133" s="5"/>
      <c r="X133" s="151"/>
    </row>
    <row r="134" spans="2:24" ht="15" thickBot="1" x14ac:dyDescent="0.35">
      <c r="B134" s="3">
        <v>132</v>
      </c>
      <c r="C134" s="210" t="s">
        <v>771</v>
      </c>
      <c r="D134" s="2" t="s">
        <v>18</v>
      </c>
      <c r="E134" s="1" t="s">
        <v>772</v>
      </c>
      <c r="F134" s="2" t="s">
        <v>773</v>
      </c>
      <c r="G134" s="1">
        <v>933327354</v>
      </c>
      <c r="H134" s="130" t="s">
        <v>774</v>
      </c>
      <c r="I134" s="1" t="s">
        <v>42</v>
      </c>
      <c r="J134" s="2">
        <v>325177899</v>
      </c>
      <c r="K134" s="85">
        <v>0</v>
      </c>
      <c r="L134" s="85">
        <v>0</v>
      </c>
      <c r="M134" s="2"/>
      <c r="N134" s="110">
        <v>0</v>
      </c>
      <c r="O134" s="85"/>
      <c r="P134" s="79"/>
      <c r="Q134" s="141"/>
      <c r="R134" s="209">
        <v>25</v>
      </c>
      <c r="S134" s="206" t="s">
        <v>633</v>
      </c>
      <c r="T134" s="191" t="s">
        <v>778</v>
      </c>
      <c r="U134" s="216"/>
      <c r="V134" s="219"/>
      <c r="W134" s="1"/>
      <c r="X134" s="148"/>
    </row>
    <row r="135" spans="2:24" ht="15" thickBot="1" x14ac:dyDescent="0.35">
      <c r="B135" s="3">
        <v>133</v>
      </c>
      <c r="C135" s="1" t="s">
        <v>775</v>
      </c>
      <c r="D135" s="2" t="s">
        <v>18</v>
      </c>
      <c r="E135" s="1" t="s">
        <v>776</v>
      </c>
      <c r="F135" s="2">
        <v>14020550</v>
      </c>
      <c r="G135" s="1"/>
      <c r="H135" s="130" t="s">
        <v>777</v>
      </c>
      <c r="I135" s="1" t="s">
        <v>20</v>
      </c>
      <c r="J135" s="2" t="s">
        <v>639</v>
      </c>
      <c r="K135" s="85">
        <v>0</v>
      </c>
      <c r="L135" s="85">
        <v>0</v>
      </c>
      <c r="M135" s="2"/>
      <c r="N135" s="110">
        <v>0</v>
      </c>
      <c r="O135" s="85"/>
      <c r="P135" s="79"/>
      <c r="Q135" s="141"/>
      <c r="R135" s="209">
        <v>25</v>
      </c>
      <c r="S135" s="206" t="s">
        <v>571</v>
      </c>
      <c r="T135" s="207" t="s">
        <v>779</v>
      </c>
      <c r="U135" s="211"/>
      <c r="V135" s="223"/>
      <c r="W135" s="224"/>
      <c r="X135" s="225"/>
    </row>
    <row r="136" spans="2:24" ht="15" thickBot="1" x14ac:dyDescent="0.35"/>
    <row r="137" spans="2:24" ht="26.4" customHeight="1" thickBot="1" x14ac:dyDescent="0.45">
      <c r="B137" s="89"/>
      <c r="D137" s="134"/>
      <c r="K137" s="103">
        <f>SUM(K4:K117)</f>
        <v>589.28</v>
      </c>
      <c r="L137" s="104">
        <f>SUM(L4:L117)</f>
        <v>1060.18</v>
      </c>
      <c r="M137" s="105"/>
      <c r="N137" s="138">
        <f>SUM(N4:N117)</f>
        <v>2287.71</v>
      </c>
      <c r="O137" s="229"/>
      <c r="P137" s="230"/>
      <c r="Q137" s="145"/>
      <c r="R137" s="199">
        <f>SUM(R4:R128)</f>
        <v>2530</v>
      </c>
      <c r="S137" s="200"/>
      <c r="T137" s="198"/>
      <c r="U137" s="156"/>
      <c r="V137" s="153"/>
      <c r="W137" s="154"/>
      <c r="X137" s="155"/>
    </row>
    <row r="138" spans="2:24" x14ac:dyDescent="0.3">
      <c r="B138" s="89"/>
    </row>
  </sheetData>
  <mergeCells count="1">
    <mergeCell ref="O137:P137"/>
  </mergeCells>
  <phoneticPr fontId="13" type="noConversion"/>
  <hyperlinks>
    <hyperlink ref="H28" r:id="rId1" xr:uid="{82421B81-903E-4BC6-BE8C-C9307B84A9A2}"/>
    <hyperlink ref="H29" r:id="rId2" xr:uid="{905038FF-0F8A-4762-9589-603CE51B2187}"/>
    <hyperlink ref="H31" r:id="rId3" xr:uid="{F835A1DD-FCE1-4138-A1E5-869C683227FD}"/>
    <hyperlink ref="H32" r:id="rId4" xr:uid="{112B5815-FF00-4FD3-BE75-1401977C155D}"/>
    <hyperlink ref="H37" r:id="rId5" xr:uid="{9D090A2A-9F3A-465D-AC13-2B59D53D9C45}"/>
    <hyperlink ref="H38" r:id="rId6" xr:uid="{D0078E5C-AD0F-4160-98FD-0D10D7D2887C}"/>
    <hyperlink ref="H39" r:id="rId7" xr:uid="{D47241B8-3D4C-4594-8D5B-E35A9553CB54}"/>
    <hyperlink ref="H42" r:id="rId8" xr:uid="{F3B3B9B1-A564-4DF1-B874-0D5328724D8E}"/>
    <hyperlink ref="H47" r:id="rId9" xr:uid="{29674301-C22E-4D6F-A692-B1CD3A65E210}"/>
    <hyperlink ref="H19" r:id="rId10" xr:uid="{555471D5-D54F-4F8A-9AE3-B9962D34D298}"/>
    <hyperlink ref="H48" r:id="rId11" xr:uid="{B4EBEA70-8BC6-46E6-A1FC-67B6A38F0349}"/>
    <hyperlink ref="H49" r:id="rId12" xr:uid="{0CD575B8-E871-43DC-9B27-8B262BC8BBEE}"/>
    <hyperlink ref="H50" r:id="rId13" xr:uid="{3C64949A-68EE-459B-A6C5-8E56F0AD761E}"/>
    <hyperlink ref="H53" r:id="rId14" xr:uid="{B92B9401-23C8-4670-BEDE-EFD2C9D67A3B}"/>
    <hyperlink ref="H56" r:id="rId15" xr:uid="{0A5C5E48-9005-428A-938F-396D0B41E05E}"/>
    <hyperlink ref="H14" r:id="rId16" xr:uid="{CD2A5F08-4220-4F2F-8906-FB8F752DC1AE}"/>
    <hyperlink ref="H57" r:id="rId17" xr:uid="{9D10F148-25FD-42DE-A722-AAF77B8C5824}"/>
    <hyperlink ref="H22" r:id="rId18" xr:uid="{6D17F06A-3882-4C67-A9CF-CF915EC013DE}"/>
    <hyperlink ref="H58" r:id="rId19" xr:uid="{DC188CD2-BA9A-48AB-86EE-A3412A5F1082}"/>
    <hyperlink ref="H59" r:id="rId20" xr:uid="{E96EE5FC-68EB-4AA5-800E-E3C5B6995B5F}"/>
    <hyperlink ref="H60" r:id="rId21" xr:uid="{72F19956-49A1-4E68-804C-C3DFD4BE7888}"/>
    <hyperlink ref="H20" r:id="rId22" xr:uid="{F7EC136D-AA9B-418D-9447-A6F796512838}"/>
    <hyperlink ref="H17" r:id="rId23" xr:uid="{D3701FEA-C5EF-4910-8D0A-EA085ABF267A}"/>
    <hyperlink ref="H24" r:id="rId24" xr:uid="{9B81F902-9770-4C1A-B24E-AF3A561E22FF}"/>
    <hyperlink ref="H25" r:id="rId25" xr:uid="{A3A10C82-D3A8-41CD-931F-551E5072BC09}"/>
    <hyperlink ref="H35" r:id="rId26" xr:uid="{C42095E8-3440-4A0F-AB9F-A9833D91BCCE}"/>
    <hyperlink ref="C61" r:id="rId27" display="https://dashboard.stripe.com/guests/gcus_1Ps5QcGyU3vzDUuTKn89rPBw" xr:uid="{D07C7750-60E1-4DD9-AFAA-245D6632B04C}"/>
    <hyperlink ref="H62" r:id="rId28" xr:uid="{3C1E02D6-8527-47C6-9CF1-A0D805818556}"/>
    <hyperlink ref="H63" r:id="rId29" xr:uid="{577B3FA2-2D19-49E8-B8C4-E06407BAF783}"/>
    <hyperlink ref="H65" r:id="rId30" xr:uid="{0C4B5145-99BF-49A3-832F-7A32E8ACCD18}"/>
    <hyperlink ref="H66" r:id="rId31" xr:uid="{29DF4955-FB11-454E-AC33-FF12690F7E57}"/>
    <hyperlink ref="H67" r:id="rId32" xr:uid="{FDF294FD-8039-46EA-8027-9B7BB762F2AA}"/>
    <hyperlink ref="H70" r:id="rId33" xr:uid="{9E90F00D-43CB-484B-98AB-50B6A21FE724}"/>
    <hyperlink ref="H71" r:id="rId34" xr:uid="{1A41B813-2D77-4519-ADE7-6E9A025383DF}"/>
    <hyperlink ref="H72" r:id="rId35" xr:uid="{AC3EE8B1-FEA4-428F-B5DE-2EA0CEAA732C}"/>
    <hyperlink ref="H46" r:id="rId36" xr:uid="{986ACD61-982A-43BE-B369-0F9808D36906}"/>
    <hyperlink ref="H61" r:id="rId37" xr:uid="{AB54139E-A478-43EE-9A09-E09639EEDA4B}"/>
    <hyperlink ref="H74" r:id="rId38" xr:uid="{C08E6197-DF52-4226-BB5F-081D8D91C8B1}"/>
    <hyperlink ref="H75" r:id="rId39" xr:uid="{948EB513-F1E0-4D97-BFA9-3FA05B3E887B}"/>
    <hyperlink ref="H76" r:id="rId40" xr:uid="{DBE9BB57-DD82-43C8-AB00-F3DA612865B5}"/>
    <hyperlink ref="H78" r:id="rId41" xr:uid="{790B5F98-B620-4364-B8FF-6A35132F471A}"/>
    <hyperlink ref="H79" r:id="rId42" xr:uid="{23E730A1-4B1F-4511-9FF0-4E7133AB2B77}"/>
    <hyperlink ref="H80" r:id="rId43" xr:uid="{E500A073-A1E0-4D9E-829B-5A650D94E5B3}"/>
    <hyperlink ref="H81" r:id="rId44" xr:uid="{C009552E-C443-4F91-9181-1B91892F4FA2}"/>
    <hyperlink ref="H84" r:id="rId45" xr:uid="{5A075EF2-23AC-4A97-BFEC-2E187D5142C5}"/>
    <hyperlink ref="H85" r:id="rId46" xr:uid="{9BD8DD54-A425-49BC-864B-ACBD663F973B}"/>
    <hyperlink ref="H87" r:id="rId47" xr:uid="{20515042-C6EA-499F-AE93-A6B214F9D068}"/>
    <hyperlink ref="H88" r:id="rId48" xr:uid="{093DB150-BC27-4631-8825-51D8C8325E82}"/>
    <hyperlink ref="H89" r:id="rId49" xr:uid="{7113028C-47AE-4C10-9AEF-2A885560ED22}"/>
    <hyperlink ref="H91" r:id="rId50" xr:uid="{2502862B-07B7-4133-8FB0-B74088A2310E}"/>
    <hyperlink ref="H26" r:id="rId51" xr:uid="{65B4ABF2-4F46-47CF-9C1E-2FD10E84EFCE}"/>
    <hyperlink ref="H5" r:id="rId52" xr:uid="{9A5CC225-A46C-42C9-9431-D9D51F3C5DAF}"/>
    <hyperlink ref="H4" r:id="rId53" xr:uid="{80E44C16-8EDD-45DC-A2EB-09CDBBCB67F1}"/>
    <hyperlink ref="H92" r:id="rId54" xr:uid="{5B588876-5341-4546-8D21-DA41AC128E15}"/>
    <hyperlink ref="H93" r:id="rId55" xr:uid="{7E538319-4723-4895-9E8A-A094E322EBF2}"/>
    <hyperlink ref="H97" r:id="rId56" xr:uid="{23002850-DFAE-483C-91AF-9EFC97EB430A}"/>
    <hyperlink ref="H98" r:id="rId57" xr:uid="{7FE6CA54-7B56-4386-B513-DF7F8419E65E}"/>
    <hyperlink ref="H101" r:id="rId58" xr:uid="{F39EB4B3-66D4-491C-B5E8-B87F99962CC9}"/>
    <hyperlink ref="H104" r:id="rId59" xr:uid="{3A40F8BB-1A96-46FE-97EA-2650D02CBF72}"/>
    <hyperlink ref="H106" r:id="rId60" xr:uid="{AB56453E-404F-403E-8A1E-23B484D64289}"/>
    <hyperlink ref="H108" r:id="rId61" xr:uid="{CB62FEB1-EED5-48BA-87C0-4B731CC4843D}"/>
    <hyperlink ref="H107" r:id="rId62" xr:uid="{67F910BB-3166-407C-A216-9709DFCED2BA}"/>
    <hyperlink ref="H109" r:id="rId63" xr:uid="{D293C5A4-0B3A-4521-B995-22C72EF6E5F1}"/>
    <hyperlink ref="H110" r:id="rId64" xr:uid="{F06AC761-9C9B-4FB8-8972-C667BDED0C17}"/>
    <hyperlink ref="H111" r:id="rId65" xr:uid="{BC95BCAA-2B6A-4B83-82D9-702B3BB65377}"/>
    <hyperlink ref="H112" r:id="rId66" xr:uid="{3F1F8FB2-02FA-4480-A908-E60FE638FD94}"/>
    <hyperlink ref="H113" r:id="rId67" xr:uid="{8ADC1029-5DAE-431E-9D04-522D6281BE11}"/>
    <hyperlink ref="H114" r:id="rId68" xr:uid="{B1557C01-4085-40D2-A13D-27068A0EC075}"/>
    <hyperlink ref="H115" r:id="rId69" xr:uid="{4D42CBB4-CA72-4C3D-8D4F-812207ED7B37}"/>
    <hyperlink ref="H117" r:id="rId70" xr:uid="{C168122F-60F7-4B42-B7E5-8E767D2B6E0F}"/>
    <hyperlink ref="H118" r:id="rId71" xr:uid="{CF24E430-9E8F-4D3E-970F-508E3A1F131C}"/>
    <hyperlink ref="H119" r:id="rId72" xr:uid="{595EA051-6C78-4BCA-83E3-06DB2BEB9761}"/>
    <hyperlink ref="H120" r:id="rId73" xr:uid="{20D9D041-AD94-4BF7-B18A-65291F506EC5}"/>
    <hyperlink ref="H121" r:id="rId74" xr:uid="{132544E5-01C2-4D76-9149-12C0913B4875}"/>
    <hyperlink ref="H122" r:id="rId75" xr:uid="{5F694448-4E17-460C-930E-2F6AF56E4CCC}"/>
    <hyperlink ref="H123" r:id="rId76" xr:uid="{9C0CEBF7-9510-4783-B6FD-F7BFA2FD5FF6}"/>
    <hyperlink ref="H124" r:id="rId77" xr:uid="{B03231E3-2429-47F8-9884-D62B00E39707}"/>
    <hyperlink ref="H125" r:id="rId78" xr:uid="{A614B50C-161D-49EA-B970-79046CDD7696}"/>
    <hyperlink ref="H126" r:id="rId79" xr:uid="{58141CE1-2895-4CCA-9129-B049DB139CCE}"/>
    <hyperlink ref="H127" r:id="rId80" xr:uid="{CFA0D869-EC69-4E52-9E4B-DB083C005848}"/>
    <hyperlink ref="H11" r:id="rId81" xr:uid="{056AF26E-8E4B-4B4E-B69D-8652747A66FD}"/>
    <hyperlink ref="H8" r:id="rId82" xr:uid="{24349DA3-F3F4-4A6A-8E03-F04A65DE3A54}"/>
    <hyperlink ref="H9" r:id="rId83" xr:uid="{14BFA8F0-37E4-4A52-A725-756B81B426CB}"/>
    <hyperlink ref="H6" r:id="rId84" xr:uid="{0BA77455-4B66-4639-9425-D48EDAB73380}"/>
    <hyperlink ref="H7" r:id="rId85" xr:uid="{925CB522-C038-4269-8669-B89AAEE45C69}"/>
    <hyperlink ref="H13" r:id="rId86" xr:uid="{A49EA860-4621-4ACF-A4C9-2B7DCD657BFC}"/>
    <hyperlink ref="H68" r:id="rId87" xr:uid="{2AFDCDF2-8B22-4523-A35C-BBD76CEDB71B}"/>
    <hyperlink ref="H82" r:id="rId88" xr:uid="{883B5552-1EE1-46C1-832E-76615EB53569}"/>
    <hyperlink ref="H12" r:id="rId89" xr:uid="{6902E275-21E7-4008-9140-AAC109918446}"/>
    <hyperlink ref="H10" r:id="rId90" xr:uid="{13601BF4-B760-45DF-BC85-CB95707EFE6F}"/>
    <hyperlink ref="H34" r:id="rId91" xr:uid="{E420D328-513D-4E08-A6C6-378252CD7EE4}"/>
    <hyperlink ref="H41" r:id="rId92" xr:uid="{69866429-7998-4B7D-BE9E-0486125111FE}"/>
    <hyperlink ref="H51" r:id="rId93" xr:uid="{4B882EC5-63C8-4538-81B4-697EBDFB2217}"/>
    <hyperlink ref="H64" r:id="rId94" xr:uid="{3B992C89-DC1E-4FBF-BDA4-44B8F79B810E}"/>
    <hyperlink ref="H73" r:id="rId95" xr:uid="{93A2FFEB-25EF-49C5-9CF8-3DBF9F732185}"/>
    <hyperlink ref="H131" r:id="rId96" xr:uid="{B4E410B8-EB57-4133-8ACD-F658663FA4D2}"/>
    <hyperlink ref="H132" r:id="rId97" xr:uid="{1774FB13-2297-4A8F-8FC3-E426D3353484}"/>
  </hyperlinks>
  <pageMargins left="0.7" right="0.7" top="0.75" bottom="0.75" header="0.3" footer="0.3"/>
  <legacyDrawing r:id="rId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Membros 2025</vt:lpstr>
      <vt:lpstr>Membros 2025 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Costa</dc:creator>
  <cp:lastModifiedBy>Rui António Martins Lopes Novo Da Costa</cp:lastModifiedBy>
  <dcterms:created xsi:type="dcterms:W3CDTF">2023-06-07T15:27:04Z</dcterms:created>
  <dcterms:modified xsi:type="dcterms:W3CDTF">2026-02-18T14:59:33Z</dcterms:modified>
</cp:coreProperties>
</file>